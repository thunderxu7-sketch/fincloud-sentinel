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4a32b6cab4e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b41ab8aed41c4192"/>
    <x:sheet xmlns:r="http://schemas.openxmlformats.org/officeDocument/2006/relationships" name="Assumptions" sheetId="2" r:id="R6ad2c87034334979"/>
    <x:sheet xmlns:r="http://schemas.openxmlformats.org/officeDocument/2006/relationships" name="TCO Model" sheetId="3" r:id="R0bfe4caa5dd64baa"/>
    <x:sheet xmlns:r="http://schemas.openxmlformats.org/officeDocument/2006/relationships" name="Benefits" sheetId="4" r:id="R1364f2b378404f72"/>
    <x:sheet xmlns:r="http://schemas.openxmlformats.org/officeDocument/2006/relationships" name="Cash Flow" sheetId="5" r:id="Rb7a905206aa74650"/>
    <x:sheet xmlns:r="http://schemas.openxmlformats.org/officeDocument/2006/relationships" name="Sensitivity" sheetId="6" r:id="R20244c2e27f646fa"/>
    <x:sheet xmlns:r="http://schemas.openxmlformats.org/officeDocument/2006/relationships" name="Checks" sheetId="7" r:id="Re719206e7de64edf"/>
    <x:sheet xmlns:r="http://schemas.openxmlformats.org/officeDocument/2006/relationships" name="Sources" sheetId="8" r:id="Rd7a2270f61d04e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%;[Red](0.0%);-"/>
    <x:numFmt numFmtId="202" formatCode="#,##0"/>
    <x:numFmt numFmtId="203" formatCode="#,##0;[Red](#,##0);-"/>
    <x:numFmt numFmtId="204" formatCode="¥#,##0"/>
    <x:numFmt numFmtId="205" formatCode="0.00"/>
  </x:numFmts>
  <x:fonts count="12">
    <x:font>
      <x:sz val="11"/>
      <x:name val="Carlito"/>
    </x:font>
    <x:font>
      <x:b/>
      <x:sz val="20"/>
      <x:color rgb="FFFFFFFF"/>
      <x:name val="Carlito"/>
    </x:font>
    <x:font>
      <x:i/>
      <x:sz val="10"/>
      <x:color rgb="FF5B6961"/>
      <x:name val="Carlito"/>
    </x:font>
    <x:font>
      <x:b/>
      <x:sz val="11"/>
      <x:color rgb="FF5B696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1"/>
      <x:color rgb="FF164A8A"/>
      <x:name val="Carlito"/>
    </x:font>
    <x:font>
      <x:b/>
      <x:sz val="11"/>
      <x:name val="Carlito"/>
    </x:font>
    <x:font>
      <x:i/>
      <x:sz val="11"/>
      <x:color rgb="FF6C4A00"/>
      <x:name val="Carlito"/>
    </x:font>
    <x:font>
      <x:b/>
      <x:sz val="16"/>
      <x:color rgb="FF071510"/>
      <x:name val="Carlito"/>
    </x:font>
    <x:font>
      <x:sz val="11"/>
      <x:color rgb="FF5B6961"/>
      <x:name val="Carlito"/>
    </x:font>
    <x:font>
      <x:b/>
      <x:sz val="14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382B"/>
      </x:patternFill>
    </x:fill>
    <x:fill>
      <x:patternFill patternType="solid">
        <x:fgColor rgb="FFEFF5EF"/>
      </x:patternFill>
    </x:fill>
    <x:fill>
      <x:patternFill patternType="solid">
        <x:fgColor rgb="FF15795F"/>
      </x:patternFill>
    </x:fill>
    <x:fill>
      <x:patternFill patternType="solid">
        <x:fgColor rgb="FFDDEBFF"/>
      </x:patternFill>
    </x:fill>
    <x:fill>
      <x:patternFill patternType="solid">
        <x:fgColor rgb="FFFFF0C9"/>
      </x:patternFill>
    </x:fill>
    <x:fill>
      <x:patternFill patternType="solid">
        <x:fgColor rgb="FFFFFFFF"/>
      </x:patternFill>
    </x:fill>
    <x:fill>
      <x:patternFill patternType="solid">
        <x:fgColor rgb="FFF7F8F2"/>
      </x:patternFill>
    </x:fill>
  </x:fills>
  <x:borders count="34">
    <x:border/>
    <x:border>
      <x:left style="thin">
        <x:color rgb="FF14382B"/>
      </x:left>
      <x:top style="thin">
        <x:color rgb="FF14382B"/>
      </x:top>
      <x:bottom style="thin">
        <x:color rgb="FF14382B"/>
      </x:bottom>
    </x:border>
    <x:border>
      <x:top style="thin">
        <x:color rgb="FF14382B"/>
      </x:top>
      <x:bottom style="thin">
        <x:color rgb="FF14382B"/>
      </x:bottom>
    </x:border>
    <x:border>
      <x:right style="thin">
        <x:color rgb="FF14382B"/>
      </x:right>
      <x:top style="thin">
        <x:color rgb="FF14382B"/>
      </x:top>
      <x:bottom style="thin">
        <x:color rgb="FF14382B"/>
      </x:bottom>
    </x:border>
    <x:border>
      <x:left style="thin">
        <x:color rgb="FFAFC7E8"/>
      </x:left>
      <x:right style="thin">
        <x:color rgb="FFAFC7E8"/>
      </x:right>
      <x:top style="thin">
        <x:color rgb="FFAFC7E8"/>
      </x:top>
    </x:border>
    <x:border>
      <x:left style="thin">
        <x:color rgb="FFAFC7E8"/>
      </x:left>
      <x:right style="thin">
        <x:color rgb="FFAFC7E8"/>
      </x:right>
    </x:border>
    <x:border>
      <x:left style="thin">
        <x:color rgb="FFAFC7E8"/>
      </x:left>
      <x:right style="thin">
        <x:color rgb="FFAFC7E8"/>
      </x:right>
      <x:bottom style="thin">
        <x:color rgb="FFAFC7E8"/>
      </x:bottom>
    </x:border>
    <x:border>
      <x:left style="thin">
        <x:color rgb="FFAFC7E8"/>
      </x:left>
      <x:top style="thin">
        <x:color rgb="FFAFC7E8"/>
      </x:top>
    </x:border>
    <x:border>
      <x:right style="thin">
        <x:color rgb="FFAFC7E8"/>
      </x:right>
      <x:top style="thin">
        <x:color rgb="FFAFC7E8"/>
      </x:top>
    </x:border>
    <x:border>
      <x:left style="thin">
        <x:color rgb="FFAFC7E8"/>
      </x:left>
    </x:border>
    <x:border>
      <x:right style="thin">
        <x:color rgb="FFAFC7E8"/>
      </x:right>
    </x:border>
    <x:border>
      <x:left style="thin">
        <x:color rgb="FFAFC7E8"/>
      </x:left>
      <x:bottom style="thin">
        <x:color rgb="FFAFC7E8"/>
      </x:bottom>
    </x:border>
    <x:border>
      <x:right style="thin">
        <x:color rgb="FFAFC7E8"/>
      </x:right>
      <x:bottom style="thin">
        <x:color rgb="FFAFC7E8"/>
      </x:bottom>
    </x:border>
    <x:border>
      <x:bottom style="double">
        <x:color rgb="FF15795F"/>
      </x:bottom>
    </x:border>
    <x:border>
      <x:bottom style="thin">
        <x:color rgb="FFD9E2DA"/>
      </x:bottom>
    </x:border>
    <x:border>
      <x:left style="thin">
        <x:color rgb="FFAFC7E8"/>
      </x:left>
      <x:right style="thin">
        <x:color rgb="FFAFC7E8"/>
      </x:right>
      <x:bottom style="thin">
        <x:color rgb="FFD9E2DA"/>
      </x:bottom>
    </x:border>
    <x:border>
      <x:top style="thin">
        <x:color rgb="FFD9E2DA"/>
      </x:top>
      <x:bottom style="thin">
        <x:color rgb="FFD9E2DA"/>
      </x:bottom>
    </x:border>
    <x:border>
      <x:left style="thin">
        <x:color rgb="FFAFC7E8"/>
      </x:left>
      <x:right style="thin">
        <x:color rgb="FFAFC7E8"/>
      </x:right>
      <x:top style="thin">
        <x:color rgb="FFD9E2DA"/>
      </x:top>
      <x:bottom style="thin">
        <x:color rgb="FFD9E2DA"/>
      </x:bottom>
    </x:border>
    <x:border>
      <x:left style="thin">
        <x:color rgb="FFAFC7E8"/>
      </x:left>
      <x:bottom style="thin">
        <x:color rgb="FFD9E2DA"/>
      </x:bottom>
    </x:border>
    <x:border>
      <x:right style="thin">
        <x:color rgb="FFAFC7E8"/>
      </x:right>
      <x:bottom style="thin">
        <x:color rgb="FFD9E2DA"/>
      </x:bottom>
    </x:border>
    <x:border>
      <x:left style="thin">
        <x:color rgb="FFAFC7E8"/>
      </x:left>
      <x:top style="thin">
        <x:color rgb="FFD9E2DA"/>
      </x:top>
      <x:bottom style="thin">
        <x:color rgb="FFD9E2DA"/>
      </x:bottom>
    </x:border>
    <x:border>
      <x:right style="thin">
        <x:color rgb="FFAFC7E8"/>
      </x:right>
      <x:top style="thin">
        <x:color rgb="FFD9E2DA"/>
      </x:top>
      <x:bottom style="thin">
        <x:color rgb="FFD9E2DA"/>
      </x:bottom>
    </x:border>
    <x:border>
      <x:bottom style="double">
        <x:color rgb="FFC9F31D"/>
      </x:bottom>
    </x:border>
    <x:border>
      <x:left style="thin">
        <x:color rgb="FFD9E2DA"/>
      </x:left>
      <x:top style="thin">
        <x:color rgb="FFD9E2DA"/>
      </x:top>
      <x:bottom style="thin">
        <x:color rgb="FF14382B"/>
      </x:bottom>
    </x:border>
    <x:border>
      <x:right style="thin">
        <x:color rgb="FFD9E2DA"/>
      </x:right>
      <x:top style="thin">
        <x:color rgb="FFD9E2DA"/>
      </x:top>
      <x:bottom style="thin">
        <x:color rgb="FF14382B"/>
      </x:bottom>
    </x:border>
    <x:border>
      <x:left style="thin">
        <x:color rgb="FFD9E2DA"/>
      </x:left>
    </x:border>
    <x:border>
      <x:right style="thin">
        <x:color rgb="FFD9E2DA"/>
      </x:right>
    </x:border>
    <x:border>
      <x:left style="thin">
        <x:color rgb="FFD9E2DA"/>
      </x:left>
      <x:bottom style="thin">
        <x:color rgb="FFD9E2DA"/>
      </x:bottom>
    </x:border>
    <x:border>
      <x:right style="thin">
        <x:color rgb="FFD9E2DA"/>
      </x:right>
      <x:bottom style="thin">
        <x:color rgb="FFD9E2DA"/>
      </x:bottom>
    </x:border>
    <x:border>
      <x:top style="thin">
        <x:color rgb="FFAFC7E8"/>
      </x:top>
    </x:border>
    <x:border>
      <x:bottom style="thin">
        <x:color rgb="FFAFC7E8"/>
      </x:bottom>
    </x:border>
    <x:border>
      <x:left style="thin">
        <x:color rgb="FFAFC7E8"/>
      </x:left>
      <x:right style="thin">
        <x:color rgb="FFAFC7E8"/>
      </x:right>
      <x:top style="thin">
        <x:color rgb="FFAFC7E8"/>
      </x:top>
      <x:bottom style="thin">
        <x:color rgb="FFAFC7E8"/>
      </x:bottom>
    </x:border>
    <x:border>
      <x:left style="thin">
        <x:color rgb="FFD9E2DA"/>
      </x:left>
      <x:top style="thin">
        <x:color rgb="FFD9E2DA"/>
      </x:top>
      <x:bottom style="thin">
        <x:color rgb="FFD9E2DA"/>
      </x:bottom>
    </x:border>
    <x:border>
      <x:right style="thin">
        <x:color rgb="FFD9E2DA"/>
      </x:right>
      <x:top style="thin">
        <x:color rgb="FFD9E2DA"/>
      </x:top>
      <x:bottom style="thin">
        <x:color rgb="FFD9E2DA"/>
      </x:bottom>
    </x:border>
  </x:borders>
  <x:cellStyleXfs count="1">
    <x:xf numFmtId="0" fontId="0" fillId="0" borderId="0"/>
  </x:cellStyleXfs>
  <x:cellXfs count="1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201" fontId="6" fillId="5" borderId="5" xfId="0" applyNumberFormat="1" applyFont="1" applyFill="1" applyBorder="1"/>
    <x:xf numFmtId="202" fontId="6" fillId="5" borderId="5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203" fontId="6" fillId="5" borderId="8" xfId="0" applyNumberFormat="1" applyFont="1" applyFill="1" applyBorder="1"/>
    <x:xf numFmtId="203" fontId="0" fillId="0" borderId="0" xfId="0" applyNumberFormat="1" applyFont="1" applyFill="1" applyBorder="1"/>
    <x:xf numFmtId="203" fontId="6" fillId="5" borderId="10" xfId="0" applyNumberFormat="1" applyFont="1" applyFill="1" applyBorder="1"/>
    <x:xf numFmtId="203" fontId="6" fillId="5" borderId="12" xfId="0" applyNumberFormat="1" applyFont="1" applyFill="1" applyBorder="1"/>
    <x:xf numFmtId="0" fontId="7" fillId="3" borderId="0" xfId="0" applyNumberFormat="1" applyFont="1" applyFill="1" applyBorder="1"/>
    <x:xf numFmtId="0" fontId="7" fillId="3" borderId="13" xfId="0" applyNumberFormat="1" applyFont="1" applyFill="1" applyBorder="1"/>
    <x:xf numFmtId="203" fontId="7" fillId="3" borderId="13" xfId="0" applyNumberFormat="1" applyFont="1" applyFill="1" applyBorder="1"/>
    <x:xf numFmtId="204" fontId="6" fillId="5" borderId="4" xfId="0" applyNumberFormat="1" applyFont="1" applyFill="1" applyBorder="1"/>
    <x:xf numFmtId="204" fontId="6" fillId="5" borderId="5" xfId="0" applyNumberFormat="1" applyFont="1" applyFill="1" applyBorder="1"/>
    <x:xf numFmtId="204" fontId="6" fillId="5" borderId="6" xfId="0" applyNumberFormat="1" applyFont="1" applyFill="1" applyBorder="1"/>
    <x:xf numFmtId="203" fontId="6" fillId="5" borderId="5" xfId="0" applyNumberFormat="1" applyFont="1" applyFill="1" applyBorder="1"/>
    <x:xf numFmtId="201" fontId="6" fillId="5" borderId="6" xfId="0" applyNumberFormat="1" applyFont="1" applyFill="1" applyBorder="1"/>
    <x:xf numFmtId="0" fontId="0" fillId="0" borderId="14" xfId="0" applyNumberFormat="1" applyFont="1" applyFill="1" applyBorder="1"/>
    <x:xf numFmtId="0" fontId="6" fillId="5" borderId="15" xfId="0" applyNumberFormat="1" applyFont="1" applyFill="1" applyBorder="1"/>
    <x:xf numFmtId="0" fontId="0" fillId="0" borderId="16" xfId="0" applyNumberFormat="1" applyFont="1" applyFill="1" applyBorder="1"/>
    <x:xf numFmtId="201" fontId="6" fillId="5" borderId="17" xfId="0" applyNumberFormat="1" applyFont="1" applyFill="1" applyBorder="1"/>
    <x:xf numFmtId="202" fontId="6" fillId="5" borderId="17" xfId="0" applyNumberFormat="1" applyFont="1" applyFill="1" applyBorder="1"/>
    <x:xf numFmtId="0" fontId="6" fillId="5" borderId="17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6" fillId="5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201" fontId="6" fillId="5" borderId="17" xfId="0" applyNumberFormat="1" applyFont="1" applyFill="1" applyBorder="1" applyAlignment="1">
      <x:alignment vertical="center"/>
    </x:xf>
    <x:xf numFmtId="202" fontId="6" fillId="5" borderId="17" xfId="0" applyNumberFormat="1" applyFont="1" applyFill="1" applyBorder="1" applyAlignment="1">
      <x:alignment vertical="center"/>
    </x:xf>
    <x:xf numFmtId="0" fontId="6" fillId="5" borderId="17" xfId="0" applyNumberFormat="1" applyFont="1" applyFill="1" applyBorder="1" applyAlignment="1">
      <x:alignment vertical="center"/>
    </x:xf>
    <x:xf numFmtId="0" fontId="6" fillId="5" borderId="18" xfId="0" applyNumberFormat="1" applyFont="1" applyFill="1" applyBorder="1"/>
    <x:xf numFmtId="203" fontId="6" fillId="5" borderId="19" xfId="0" applyNumberFormat="1" applyFont="1" applyFill="1" applyBorder="1"/>
    <x:xf numFmtId="203" fontId="0" fillId="0" borderId="14" xfId="0" applyNumberFormat="1" applyFont="1" applyFill="1" applyBorder="1"/>
    <x:xf numFmtId="0" fontId="6" fillId="5" borderId="20" xfId="0" applyNumberFormat="1" applyFont="1" applyFill="1" applyBorder="1"/>
    <x:xf numFmtId="203" fontId="6" fillId="5" borderId="21" xfId="0" applyNumberFormat="1" applyFont="1" applyFill="1" applyBorder="1"/>
    <x:xf numFmtId="203" fontId="0" fillId="0" borderId="16" xfId="0" applyNumberFormat="1" applyFont="1" applyFill="1" applyBorder="1"/>
    <x:xf numFmtId="0" fontId="6" fillId="5" borderId="18" xfId="0" applyNumberFormat="1" applyFont="1" applyFill="1" applyBorder="1" applyAlignment="1">
      <x:alignment vertical="center"/>
    </x:xf>
    <x:xf numFmtId="203" fontId="6" fillId="5" borderId="19" xfId="0" applyNumberFormat="1" applyFont="1" applyFill="1" applyBorder="1" applyAlignment="1">
      <x:alignment vertical="center"/>
    </x:xf>
    <x:xf numFmtId="203" fontId="0" fillId="0" borderId="14" xfId="0" applyNumberFormat="1" applyFont="1" applyFill="1" applyBorder="1" applyAlignment="1">
      <x:alignment vertical="center"/>
    </x:xf>
    <x:xf numFmtId="0" fontId="6" fillId="5" borderId="20" xfId="0" applyNumberFormat="1" applyFont="1" applyFill="1" applyBorder="1" applyAlignment="1">
      <x:alignment vertical="center"/>
    </x:xf>
    <x:xf numFmtId="203" fontId="6" fillId="5" borderId="21" xfId="0" applyNumberFormat="1" applyFont="1" applyFill="1" applyBorder="1" applyAlignment="1">
      <x:alignment vertical="center"/>
    </x:xf>
    <x:xf numFmtId="203" fontId="0" fillId="0" borderId="16" xfId="0" applyNumberFormat="1" applyFont="1" applyFill="1" applyBorder="1" applyAlignment="1">
      <x:alignment vertical="center"/>
    </x:xf>
    <x:xf numFmtId="204" fontId="6" fillId="5" borderId="15" xfId="0" applyNumberFormat="1" applyFont="1" applyFill="1" applyBorder="1"/>
    <x:xf numFmtId="204" fontId="6" fillId="5" borderId="17" xfId="0" applyNumberFormat="1" applyFont="1" applyFill="1" applyBorder="1"/>
    <x:xf numFmtId="204" fontId="6" fillId="5" borderId="15" xfId="0" applyNumberFormat="1" applyFont="1" applyFill="1" applyBorder="1" applyAlignment="1">
      <x:alignment vertical="center"/>
    </x:xf>
    <x:xf numFmtId="204" fontId="6" fillId="5" borderId="17" xfId="0" applyNumberFormat="1" applyFont="1" applyFill="1" applyBorder="1" applyAlignment="1">
      <x:alignment vertical="center"/>
    </x:xf>
    <x:xf numFmtId="203" fontId="6" fillId="5" borderId="17" xfId="0" applyNumberFormat="1" applyFont="1" applyFill="1" applyBorder="1"/>
    <x:xf numFmtId="203" fontId="6" fillId="5" borderId="17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22" xfId="0" applyNumberFormat="1" applyFont="1" applyFill="1" applyBorder="1"/>
    <x:xf numFmtId="203" fontId="4" fillId="2" borderId="22" xfId="0" applyNumberFormat="1" applyFont="1" applyFill="1" applyBorder="1"/>
    <x:xf numFmtId="202" fontId="0" fillId="0" borderId="0" xfId="0" applyNumberFormat="1" applyFont="1" applyFill="1" applyBorder="1"/>
    <x:xf numFmtId="203" fontId="4" fillId="2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6" xfId="0" applyNumberFormat="1" applyFont="1" applyFill="1" applyBorder="1"/>
    <x:xf numFmtId="201" fontId="0" fillId="0" borderId="16" xfId="0" applyNumberFormat="1" applyFont="1" applyFill="1" applyBorder="1" applyAlignment="1">
      <x:alignment vertical="center"/>
    </x:xf>
    <x:xf numFmtId="0" fontId="5" fillId="2" borderId="23" xfId="0" applyNumberFormat="1" applyFont="1" applyFill="1" applyBorder="1" applyAlignment="1">
      <x:alignment vertical="center" wrapText="1"/>
    </x:xf>
    <x:xf numFmtId="0" fontId="5" fillId="2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/>
    <x:xf numFmtId="203" fontId="0" fillId="0" borderId="26" xfId="0" applyNumberFormat="1" applyFont="1" applyFill="1" applyBorder="1"/>
    <x:xf numFmtId="201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3" borderId="25" xfId="0" applyNumberFormat="1" applyFont="1" applyFill="1" applyBorder="1"/>
    <x:xf numFmtId="0" fontId="0" fillId="3" borderId="27" xfId="0" applyNumberFormat="1" applyFont="1" applyFill="1" applyBorder="1"/>
    <x:xf numFmtId="0" fontId="7" fillId="3" borderId="25" xfId="0" applyNumberFormat="1" applyFont="1" applyFill="1" applyBorder="1"/>
    <x:xf numFmtId="0" fontId="7" fillId="3" borderId="27" xfId="0" applyNumberFormat="1" applyFont="1" applyFill="1" applyBorder="1"/>
    <x:xf numFmtId="0" fontId="6" fillId="5" borderId="29" xfId="0" applyNumberFormat="1" applyFont="1" applyFill="1" applyBorder="1"/>
    <x:xf numFmtId="0" fontId="6" fillId="5" borderId="30" xfId="0" applyNumberFormat="1" applyFont="1" applyFill="1" applyBorder="1"/>
    <x:xf numFmtId="201" fontId="6" fillId="5" borderId="7" xfId="0" applyNumberFormat="1" applyFont="1" applyFill="1" applyBorder="1"/>
    <x:xf numFmtId="201" fontId="6" fillId="5" borderId="29" xfId="0" applyNumberFormat="1" applyFont="1" applyFill="1" applyBorder="1"/>
    <x:xf numFmtId="201" fontId="6" fillId="5" borderId="8" xfId="0" applyNumberFormat="1" applyFont="1" applyFill="1" applyBorder="1"/>
    <x:xf numFmtId="201" fontId="6" fillId="5" borderId="9" xfId="0" applyNumberFormat="1" applyFont="1" applyFill="1" applyBorder="1"/>
    <x:xf numFmtId="201" fontId="6" fillId="5" borderId="0" xfId="0" applyNumberFormat="1" applyFont="1" applyFill="1" applyBorder="1"/>
    <x:xf numFmtId="201" fontId="6" fillId="5" borderId="10" xfId="0" applyNumberFormat="1" applyFont="1" applyFill="1" applyBorder="1"/>
    <x:xf numFmtId="201" fontId="6" fillId="5" borderId="11" xfId="0" applyNumberFormat="1" applyFont="1" applyFill="1" applyBorder="1"/>
    <x:xf numFmtId="201" fontId="6" fillId="5" borderId="30" xfId="0" applyNumberFormat="1" applyFont="1" applyFill="1" applyBorder="1"/>
    <x:xf numFmtId="201" fontId="6" fillId="5" borderId="12" xfId="0" applyNumberFormat="1" applyFont="1" applyFill="1" applyBorder="1"/>
    <x:xf numFmtId="201" fontId="6" fillId="5" borderId="18" xfId="0" applyNumberFormat="1" applyFont="1" applyFill="1" applyBorder="1"/>
    <x:xf numFmtId="201" fontId="6" fillId="5" borderId="14" xfId="0" applyNumberFormat="1" applyFont="1" applyFill="1" applyBorder="1"/>
    <x:xf numFmtId="201" fontId="6" fillId="5" borderId="19" xfId="0" applyNumberFormat="1" applyFont="1" applyFill="1" applyBorder="1"/>
    <x:xf numFmtId="201" fontId="0" fillId="0" borderId="14" xfId="0" applyNumberFormat="1" applyFont="1" applyFill="1" applyBorder="1"/>
    <x:xf numFmtId="201" fontId="6" fillId="5" borderId="20" xfId="0" applyNumberFormat="1" applyFont="1" applyFill="1" applyBorder="1"/>
    <x:xf numFmtId="201" fontId="6" fillId="5" borderId="16" xfId="0" applyNumberFormat="1" applyFont="1" applyFill="1" applyBorder="1"/>
    <x:xf numFmtId="201" fontId="6" fillId="5" borderId="21" xfId="0" applyNumberFormat="1" applyFont="1" applyFill="1" applyBorder="1"/>
    <x:xf numFmtId="201" fontId="6" fillId="5" borderId="18" xfId="0" applyNumberFormat="1" applyFont="1" applyFill="1" applyBorder="1" applyAlignment="1">
      <x:alignment vertical="center"/>
    </x:xf>
    <x:xf numFmtId="201" fontId="6" fillId="5" borderId="14" xfId="0" applyNumberFormat="1" applyFont="1" applyFill="1" applyBorder="1" applyAlignment="1">
      <x:alignment vertical="center"/>
    </x:xf>
    <x:xf numFmtId="201" fontId="6" fillId="5" borderId="19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6" fillId="5" borderId="20" xfId="0" applyNumberFormat="1" applyFont="1" applyFill="1" applyBorder="1" applyAlignment="1">
      <x:alignment vertical="center"/>
    </x:xf>
    <x:xf numFmtId="201" fontId="6" fillId="5" borderId="16" xfId="0" applyNumberFormat="1" applyFont="1" applyFill="1" applyBorder="1" applyAlignment="1">
      <x:alignment vertical="center"/>
    </x:xf>
    <x:xf numFmtId="201" fontId="6" fillId="5" borderId="21" xfId="0" applyNumberFormat="1" applyFont="1" applyFill="1" applyBorder="1" applyAlignment="1">
      <x:alignment vertical="center"/>
    </x:xf>
    <x:xf numFmtId="0" fontId="6" fillId="5" borderId="31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32" xfId="0" applyNumberFormat="1" applyFont="1" applyFill="1" applyBorder="1"/>
    <x:xf numFmtId="0" fontId="9" fillId="7" borderId="16" xfId="0" applyNumberFormat="1" applyFont="1" applyFill="1" applyBorder="1"/>
    <x:xf numFmtId="0" fontId="9" fillId="7" borderId="33" xfId="0" applyNumberFormat="1" applyFont="1" applyFill="1" applyBorder="1"/>
    <x:xf numFmtId="0" fontId="9" fillId="7" borderId="32" xfId="0" applyNumberFormat="1" applyFont="1" applyFill="1" applyBorder="1" applyAlignment="1">
      <x:alignment horizontal="center"/>
    </x:xf>
    <x:xf numFmtId="0" fontId="9" fillId="7" borderId="16" xfId="0" applyNumberFormat="1" applyFont="1" applyFill="1" applyBorder="1" applyAlignment="1">
      <x:alignment horizontal="center"/>
    </x:xf>
    <x:xf numFmtId="0" fontId="9" fillId="7" borderId="33" xfId="0" applyNumberFormat="1" applyFont="1" applyFill="1" applyBorder="1" applyAlignment="1">
      <x:alignment horizontal="center"/>
    </x:xf>
    <x:xf numFmtId="203" fontId="9" fillId="7" borderId="32" xfId="0" applyNumberFormat="1" applyFont="1" applyFill="1" applyBorder="1" applyAlignment="1">
      <x:alignment horizontal="center"/>
    </x:xf>
    <x:xf numFmtId="203" fontId="9" fillId="7" borderId="16" xfId="0" applyNumberFormat="1" applyFont="1" applyFill="1" applyBorder="1" applyAlignment="1">
      <x:alignment horizontal="center"/>
    </x:xf>
    <x:xf numFmtId="201" fontId="9" fillId="7" borderId="16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205" fontId="0" fillId="0" borderId="14" xfId="0" applyNumberFormat="1" applyFont="1" applyFill="1" applyBorder="1" applyAlignment="1">
      <x:alignment vertical="center"/>
    </x:xf>
    <x:xf numFmtId="205" fontId="0" fillId="0" borderId="16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200" fontId="0" fillId="0" borderId="14" xfId="0" applyNumberFormat="1" applyFont="1" applyFill="1" applyBorder="1"/>
    <x:xf numFmtId="200" fontId="0" fillId="0" borderId="16" xfId="0" applyNumberFormat="1" applyFont="1" applyFill="1" applyBorder="1"/>
    <x:xf numFmtId="202" fontId="0" fillId="0" borderId="16" xfId="0" applyNumberFormat="1" applyFont="1" applyFill="1" applyBorder="1"/>
    <x:xf numFmtId="200" fontId="0" fillId="0" borderId="14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2" fontId="0" fillId="0" borderId="16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2" fontId="0" fillId="0" borderId="16" xfId="0" applyNumberFormat="1" applyFont="1" applyFill="1" applyBorder="1" applyAlignment="1">
      <x:alignment vertical="center" wrapText="1"/>
    </x:xf>
    <x:xf numFmtId="203" fontId="0" fillId="0" borderId="16" xfId="0" applyNumberFormat="1" applyFont="1" applyFill="1" applyBorder="1" applyAlignment="1">
      <x:alignment vertical="center" wrapText="1"/>
    </x:xf>
    <x:xf numFmtId="201" fontId="0" fillId="0" borderId="1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e32d61f584ca1" /><Relationship Type="http://schemas.openxmlformats.org/officeDocument/2006/relationships/theme" Target="/xl/theme/theme1.xml" Id="R55f2c92dcb0f408b" /><Relationship Type="http://schemas.openxmlformats.org/officeDocument/2006/relationships/sharedStrings" Target="/xl/sharedStrings.xml" Id="Raefc8f44cac44ad8" /><Relationship Type="http://schemas.openxmlformats.org/officeDocument/2006/relationships/worksheet" Target="/xl/worksheets/sheet1.xml" Id="Rb41ab8aed41c4192" /><Relationship Type="http://schemas.openxmlformats.org/officeDocument/2006/relationships/worksheet" Target="/xl/worksheets/sheet2.xml" Id="R6ad2c87034334979" /><Relationship Type="http://schemas.openxmlformats.org/officeDocument/2006/relationships/worksheet" Target="/xl/worksheets/sheet3.xml" Id="R0bfe4caa5dd64baa" /><Relationship Type="http://schemas.openxmlformats.org/officeDocument/2006/relationships/worksheet" Target="/xl/worksheets/sheet4.xml" Id="R1364f2b378404f72" /><Relationship Type="http://schemas.openxmlformats.org/officeDocument/2006/relationships/worksheet" Target="/xl/worksheets/sheet5.xml" Id="Rb7a905206aa74650" /><Relationship Type="http://schemas.openxmlformats.org/officeDocument/2006/relationships/worksheet" Target="/xl/worksheets/sheet6.xml" Id="R20244c2e27f646fa" /><Relationship Type="http://schemas.openxmlformats.org/officeDocument/2006/relationships/worksheet" Target="/xl/worksheets/sheet7.xml" Id="Re719206e7de64edf" /><Relationship Type="http://schemas.openxmlformats.org/officeDocument/2006/relationships/worksheet" Target="/xl/worksheets/sheet8.xml" Id="Rd7a2270f61d04e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094119e8e0403c" /><Relationship Type="http://schemas.openxmlformats.org/officeDocument/2006/relationships/chart" Target="/xl/drawings/charts/chart2.xml" Id="Rc3cb8b08365d4d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Base-case annual cost and benefit (CNY)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Cost</c:v>
          </c:tx>
          <c:cat>
            <c:strRef>
              <c:f>'Executive Summary'!$A$11:$A$14</c:f>
              <c:strCache>
                <c:ptCount val="0"/>
              </c:strCache>
            </c:strRef>
          </c:cat>
          <c:val>
            <c:numRef>
              <c:f>'Executive Summary'!$B$11:$B$14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Benefit</c:v>
          </c:tx>
          <c:cat>
            <c:strRef>
              <c:f>'Executive Summary'!$A$11:$A$14</c:f>
              <c:strCache>
                <c:ptCount val="0"/>
              </c:strCache>
            </c:strRef>
          </c:cat>
          <c:val>
            <c:numRef>
              <c:f>'Executive Summary'!$C$11:$C$14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0.0,,\M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Base-case cumulative cash flow (CNY)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Cumulative cash</c:v>
          </c:tx>
          <c:marker>
            <c:symbol val="none"/>
          </c:marker>
          <c:cat>
            <c:strRef>
              <c:f>'Executive Summary'!$E$11:$E$14</c:f>
              <c:strCache>
                <c:ptCount val="0"/>
              </c:strCache>
            </c:strRef>
          </c:cat>
          <c:val>
            <c:numRef>
              <c:f>'Executive Summary'!$F$11:$F$14</c:f>
              <c:numCache>
                <c:formatCode>#,##0;[Red](#,##0);-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0.0,,\M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094119e8e0403c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cb8b08365d4dc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1767c5e46a40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</x:cols>
  <x:sheetData>
    <x:row r="1" ht="34" customHeight="1">
      <x:c r="A1" s="3" t="str">
        <x:v>FinCloud Sentinel · Executive TCO &amp; ROI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Editable three-year base model with scenario sensitivity. Illustrative values only; validate target region, contract, tax and workload.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t="str">
        <x:v>Selected scenario</x:v>
      </x:c>
      <x:c r="B4" s="125" t="str">
        <x:v>Base</x:v>
      </x:c>
      <x:c r="D4" s="85" t="str">
        <x:v>Change blue cells in Assumptions; review Checks before use. Scenario scales base-case cost and benefits.</x:v>
      </x:c>
      <x:c r="E4" s="85"/>
      <x:c r="F4" s="85"/>
      <x:c r="G4" s="85"/>
      <x:c r="H4" s="85"/>
      <x:c r="I4" s="85"/>
      <x:c r="J4" s="85"/>
    </x:row>
    <x:row r="6">
      <x:c r="A6" s="127" t="str">
        <x:v>3Y TCO</x:v>
      </x:c>
      <x:c r="B6" s="127"/>
      <x:c r="C6" s="127" t="str">
        <x:v>3Y benefits</x:v>
      </x:c>
      <x:c r="D6" s="127"/>
      <x:c r="E6" s="127" t="str">
        <x:v>Net value</x:v>
      </x:c>
      <x:c r="F6" s="127"/>
      <x:c r="G6" s="127" t="str">
        <x:v>ROI</x:v>
      </x:c>
      <x:c r="H6" s="127"/>
      <x:c r="I6" s="127" t="str">
        <x:v>Base payback</x:v>
      </x:c>
      <x:c r="J6" s="127"/>
    </x:row>
    <x:row r="7">
      <x:c r="A7" s="136" t="n">
        <x:f>IF(B4="Downside",'Sensitivity'!E5,IF(B4="Upside",'Sensitivity'!E7,'Sensitivity'!E6))</x:f>
        <x:v>8800455.975</x:v>
      </x:c>
      <x:c r="B7" s="137"/>
      <x:c r="C7" s="137" t="n">
        <x:f>IF(B4="Downside",'Sensitivity'!F5,IF(B4="Upside",'Sensitivity'!F7,'Sensitivity'!F6))</x:f>
        <x:v>10035643.749999998</x:v>
      </x:c>
      <x:c r="D7" s="137"/>
      <x:c r="E7" s="137" t="n">
        <x:f>C7-A7</x:f>
        <x:v>1235187.7749999985</x:v>
      </x:c>
      <x:c r="F7" s="137"/>
      <x:c r="G7" s="138" t="n">
        <x:f>IF(A7=0,0,E7/A7)</x:f>
        <x:v>0.14035497461823263</x:v>
      </x:c>
      <x:c r="H7" s="138"/>
      <x:c r="I7" s="134" t="str">
        <x:f>'Cash Flow'!H9</x:f>
        <x:v>24 months</x:v>
      </x:c>
      <x:c r="J7" s="135"/>
    </x:row>
    <x:row r="10" ht="25" customHeight="1">
      <x:c r="A10" s="20" t="str">
        <x:v>Year</x:v>
      </x:c>
      <x:c r="B10" s="21" t="str">
        <x:v>Cost</x:v>
      </x:c>
      <x:c r="C10" s="22" t="str">
        <x:v>Benefit</x:v>
      </x:c>
      <x:c r="E10" s="20" t="str">
        <x:v>Year</x:v>
      </x:c>
      <x:c r="F10" s="22" t="str">
        <x:v>Cumulative cash</x:v>
      </x:c>
    </x:row>
    <x:row r="11">
      <x:c r="A11" s="54" t="str">
        <x:v>Year 0</x:v>
      </x:c>
      <x:c r="B11" s="68" t="n">
        <x:f>'TCO Model'!B22</x:f>
        <x:v>704000</x:v>
      </x:c>
      <x:c r="C11" s="68" t="n">
        <x:f>'Benefits'!B10</x:f>
        <x:v>0</x:v>
      </x:c>
      <x:c r="E11" s="54" t="str">
        <x:v>Year 0</x:v>
      </x:c>
      <x:c r="F11" s="68" t="n">
        <x:f>'Cash Flow'!B11</x:f>
        <x:v>-704000</x:v>
      </x:c>
    </x:row>
    <x:row r="12">
      <x:c r="A12" s="56" t="str">
        <x:v>Year 1</x:v>
      </x:c>
      <x:c r="B12" s="71" t="n">
        <x:f>'TCO Model'!C22</x:f>
        <x:v>2124000</x:v>
      </x:c>
      <x:c r="C12" s="71" t="n">
        <x:f>'Benefits'!C10</x:f>
        <x:v>2632300</x:v>
      </x:c>
      <x:c r="E12" s="56" t="str">
        <x:v>Year 1</x:v>
      </x:c>
      <x:c r="F12" s="71" t="n">
        <x:f>'Cash Flow'!C11</x:f>
        <x:v>-195700</x:v>
      </x:c>
    </x:row>
    <x:row r="13">
      <x:c r="A13" s="56" t="str">
        <x:v>Year 2</x:v>
      </x:c>
      <x:c r="B13" s="71" t="n">
        <x:f>'TCO Model'!D22</x:f>
        <x:v>2573970</x:v>
      </x:c>
      <x:c r="C13" s="71" t="n">
        <x:f>'Benefits'!D10</x:f>
        <x:v>3290374.9999999995</x:v>
      </x:c>
      <x:c r="E13" s="56" t="str">
        <x:v>Year 2</x:v>
      </x:c>
      <x:c r="F13" s="71" t="n">
        <x:f>'Cash Flow'!D11</x:f>
        <x:v>520704.99999999953</x:v>
      </x:c>
    </x:row>
    <x:row r="14">
      <x:c r="A14" s="56" t="str">
        <x:v>Year 3</x:v>
      </x:c>
      <x:c r="B14" s="71" t="n">
        <x:f>'TCO Model'!E22</x:f>
        <x:v>3398485.975</x:v>
      </x:c>
      <x:c r="C14" s="71" t="n">
        <x:f>'Benefits'!E10</x:f>
        <x:v>4112968.7499999995</x:v>
      </x:c>
      <x:c r="E14" s="56" t="str">
        <x:v>Year 3</x:v>
      </x:c>
      <x:c r="F14" s="71" t="n">
        <x:f>'Cash Flow'!E11</x:f>
        <x:v>1235187.774999999</x:v>
      </x:c>
    </x:row>
    <x:row r="34" ht="24" customHeight="1">
      <x:c r="A34" s="12" t="str">
        <x:v>Management interpretation</x:v>
      </x:c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3" customHeight="1">
      <x:c r="A35" s="141" t="str">
        <x:v>• The model includes cloud, implementation, customer operations, migration and exit—not cloud list price alone.</x:v>
      </x:c>
      <x:c r="B35" s="141"/>
      <x:c r="C35" s="141"/>
      <x:c r="D35" s="141"/>
      <x:c r="E35" s="141"/>
      <x:c r="F35" s="141"/>
      <x:c r="G35" s="141"/>
      <x:c r="H35" s="141"/>
      <x:c r="I35" s="141"/>
      <x:c r="J35" s="141"/>
    </x:row>
    <x:row r="36" ht="23" customHeight="1">
      <x:c r="A36" s="141" t="str">
        <x:v>• Benefits are probability-weighted. Finance must approve incident impact, realization and confidence.</x:v>
      </x:c>
      <x:c r="B36" s="141"/>
      <x:c r="C36" s="141"/>
      <x:c r="D36" s="141"/>
      <x:c r="E36" s="141"/>
      <x:c r="F36" s="141"/>
      <x:c r="G36" s="141"/>
      <x:c r="H36" s="141"/>
      <x:c r="I36" s="141"/>
      <x:c r="J36" s="141"/>
    </x:row>
    <x:row r="37" ht="23" customHeight="1">
      <x:c r="A37" s="141" t="str">
        <x:v>• Update target-region quote, workload and retention; compare unit cost per 1,000 completed transactions.</x:v>
      </x:c>
      <x:c r="B37" s="141"/>
      <x:c r="C37" s="141"/>
      <x:c r="D37" s="141"/>
      <x:c r="E37" s="141"/>
      <x:c r="F37" s="141"/>
      <x:c r="G37" s="141"/>
      <x:c r="H37" s="141"/>
      <x:c r="I37" s="141"/>
      <x:c r="J37" s="141"/>
    </x:row>
    <x:row r="38" ht="23" customHeight="1">
      <x:c r="A38" s="141" t="str">
        <x:v>• A downside case with negative ROI can still be rational for mandatory risk/compliance—but the reason must be explicit.</x:v>
      </x:c>
      <x:c r="B38" s="141"/>
      <x:c r="C38" s="141"/>
      <x:c r="D38" s="141"/>
      <x:c r="E38" s="141"/>
      <x:c r="F38" s="141"/>
      <x:c r="G38" s="141"/>
      <x:c r="H38" s="141"/>
      <x:c r="I38" s="141"/>
      <x:c r="J38" s="141"/>
    </x:row>
  </x:sheetData>
  <x:mergeCells>
    <x:mergeCell ref="A1:J1"/>
    <x:mergeCell ref="A2:J2"/>
    <x:mergeCell ref="D4:J4"/>
    <x:mergeCell ref="A6:B6"/>
    <x:mergeCell ref="A7:B7"/>
    <x:mergeCell ref="C6:D6"/>
    <x:mergeCell ref="C7:D7"/>
    <x:mergeCell ref="E6:F6"/>
    <x:mergeCell ref="E7:F7"/>
    <x:mergeCell ref="G6:H6"/>
    <x:mergeCell ref="G7:H7"/>
    <x:mergeCell ref="I6:J6"/>
    <x:mergeCell ref="I7:J7"/>
    <x:mergeCell ref="A34:J34"/>
    <x:mergeCell ref="A35:J35"/>
    <x:mergeCell ref="A36:J36"/>
    <x:mergeCell ref="A37:J37"/>
    <x:mergeCell ref="A38:J38"/>
  </x:mergeCells>
  <x:dataValidations count="1">
    <x:dataValidation type="list" sqref="B4">
      <x:formula1>"Downside,Base,Upside"</x:formula1>
    </x:dataValidation>
  </x:dataValidations>
  <x:pageMargins left="0.7" right="0.7" top="0.75" bottom="0.75" header="0.3" footer="0.3"/>
  <x:drawing xmlns:r="http://schemas.openxmlformats.org/officeDocument/2006/relationships" r:id="Rb41767c5e46a409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6" hidden="0" customWidth="1"/>
    <x:col min="4" max="4" width="39" hidden="0" customWidth="1"/>
    <x:col min="5" max="5" width="3" hidden="0" customWidth="1"/>
    <x:col min="6" max="6" width="31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FinCloud Sentinel · TCO assumptions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Blue cells are editable illustrative inputs—not an Alibaba Cloud quote. Update with target-region calculator/contract evidence.</x:v>
      </x:c>
      <x:c r="B2" s="7"/>
      <x:c r="C2" s="7"/>
      <x:c r="D2" s="7"/>
      <x:c r="E2" s="7"/>
      <x:c r="F2" s="7"/>
      <x:c r="G2" s="7"/>
      <x:c r="H2" s="7"/>
    </x:row>
    <x:row r="4">
      <x:c r="A4" s="8" t="str">
        <x:v>Version</x:v>
      </x:c>
      <x:c r="B4" t="str">
        <x:v>1.0</x:v>
      </x:c>
    </x:row>
    <x:row r="5">
      <x:c r="A5" s="8" t="str">
        <x:v>As of</x:v>
      </x:c>
      <x:c r="B5" s="9" t="n">
        <x:v>46261</x:v>
      </x:c>
    </x:row>
    <x:row r="6">
      <x:c r="A6" s="8" t="str">
        <x:v>Owner</x:v>
      </x:c>
      <x:c r="B6" t="str">
        <x:v>Customer FinOps / Solution Architecture</x:v>
      </x:c>
    </x:row>
    <x:row r="7">
      <x:c r="A7" s="8" t="str">
        <x:v>Currency</x:v>
      </x:c>
      <x:c r="B7" t="str">
        <x:v>CNY</x:v>
      </x:c>
    </x:row>
    <x:row r="8">
      <x:c r="A8" s="8" t="str">
        <x:v>Scenario</x:v>
      </x:c>
      <x:c r="B8" t="str">
        <x:v>Illustrative base</x:v>
      </x:c>
    </x:row>
    <x:row r="10" ht="24" customHeight="1">
      <x:c r="A10" s="12" t="str">
        <x:v>General and workload drivers</x:v>
      </x:c>
      <x:c r="B10" s="12"/>
      <x:c r="C10" s="12"/>
      <x:c r="D10" s="12"/>
      <x:c r="F10" s="12" t="str">
        <x:v>Operations, migration and exit</x:v>
      </x:c>
      <x:c r="G10" s="12"/>
      <x:c r="H10" s="12"/>
    </x:row>
    <x:row r="11" ht="25" customHeight="1">
      <x:c r="A11" s="20" t="str">
        <x:v>Driver</x:v>
      </x:c>
      <x:c r="B11" s="21" t="str">
        <x:v>Value</x:v>
      </x:c>
      <x:c r="C11" s="21" t="str">
        <x:v>Unit</x:v>
      </x:c>
      <x:c r="D11" s="22" t="str">
        <x:v>Source / update instruction</x:v>
      </x:c>
      <x:c r="F11" s="20" t="str">
        <x:v>Driver</x:v>
      </x:c>
      <x:c r="G11" s="21" t="str">
        <x:v>Value</x:v>
      </x:c>
      <x:c r="H11" s="22" t="str">
        <x:v>Unit</x:v>
      </x:c>
    </x:row>
    <x:row r="12">
      <x:c r="A12" s="54" t="str">
        <x:v>Model horizon</x:v>
      </x:c>
      <x:c r="B12" s="55" t="n">
        <x:v>3</x:v>
      </x:c>
      <x:c r="C12" s="54" t="str">
        <x:v>years</x:v>
      </x:c>
      <x:c r="D12" s="54" t="str">
        <x:v>Customer planning horizon</x:v>
      </x:c>
      <x:c r="F12" s="54" t="str">
        <x:v>Operations FTE</x:v>
      </x:c>
      <x:c r="G12" s="55" t="n">
        <x:v>1.2</x:v>
      </x:c>
      <x:c r="H12" s="54" t="str">
        <x:v>FTE/year</x:v>
      </x:c>
    </x:row>
    <x:row r="13">
      <x:c r="A13" s="56" t="str">
        <x:v>Discount rate</x:v>
      </x:c>
      <x:c r="B13" s="57" t="n">
        <x:v>0.08</x:v>
      </x:c>
      <x:c r="C13" s="56" t="str">
        <x:v>%</x:v>
      </x:c>
      <x:c r="D13" s="56" t="str">
        <x:v>Customer finance policy</x:v>
      </x:c>
      <x:c r="F13" s="56" t="str">
        <x:v>Loaded annual cost / FTE</x:v>
      </x:c>
      <x:c r="G13" s="77" t="n">
        <x:v>420000</x:v>
      </x:c>
      <x:c r="H13" s="56" t="str">
        <x:v>CNY/year</x:v>
      </x:c>
    </x:row>
    <x:row r="14">
      <x:c r="A14" s="56" t="str">
        <x:v>Monthly completed transactions</x:v>
      </x:c>
      <x:c r="B14" s="58" t="n">
        <x:v>3000000</x:v>
      </x:c>
      <x:c r="C14" s="56" t="str">
        <x:v>transactions</x:v>
      </x:c>
      <x:c r="D14" s="56" t="str">
        <x:v>Customer baseline/forecast</x:v>
      </x:c>
      <x:c r="F14" s="56" t="str">
        <x:v>Managed support / assurance</x:v>
      </x:c>
      <x:c r="G14" s="77" t="n">
        <x:v>120000</x:v>
      </x:c>
      <x:c r="H14" s="56" t="str">
        <x:v>CNY/year</x:v>
      </x:c>
    </x:row>
    <x:row r="15">
      <x:c r="A15" s="56" t="str">
        <x:v>Annual transaction growth</x:v>
      </x:c>
      <x:c r="B15" s="57" t="n">
        <x:v>0.25</x:v>
      </x:c>
      <x:c r="C15" s="56" t="str">
        <x:v>%</x:v>
      </x:c>
      <x:c r="D15" s="56" t="str">
        <x:v>Customer forecast</x:v>
      </x:c>
      <x:c r="F15" s="56" t="str">
        <x:v>Migration/integration reserve</x:v>
      </x:c>
      <x:c r="G15" s="77" t="n">
        <x:v>200000</x:v>
      </x:c>
      <x:c r="H15" s="56" t="str">
        <x:v>CNY one-time</x:v>
      </x:c>
    </x:row>
    <x:row r="16">
      <x:c r="A16" s="56" t="str">
        <x:v>Annual cost inflation</x:v>
      </x:c>
      <x:c r="B16" s="57" t="n">
        <x:v>0.03</x:v>
      </x:c>
      <x:c r="C16" s="56" t="str">
        <x:v>%</x:v>
      </x:c>
      <x:c r="D16" s="56" t="str">
        <x:v>Commercial assumption</x:v>
      </x:c>
      <x:c r="F16" s="56" t="str">
        <x:v>Exit/decommission reserve</x:v>
      </x:c>
      <x:c r="G16" s="77" t="n">
        <x:v>250000</x:v>
      </x:c>
      <x:c r="H16" s="56" t="str">
        <x:v>CNY year 3</x:v>
      </x:c>
    </x:row>
    <x:row r="17">
      <x:c r="A17" s="56" t="str">
        <x:v>POC/production environments</x:v>
      </x:c>
      <x:c r="B17" s="59" t="n">
        <x:v>3</x:v>
      </x:c>
      <x:c r="C17" s="56" t="str">
        <x:v>count</x:v>
      </x:c>
      <x:c r="D17" s="56" t="str">
        <x:v>Staging + production + recovery baseline</x:v>
      </x:c>
      <x:c r="F17" s="56" t="str">
        <x:v>Operational cost inflation</x:v>
      </x:c>
      <x:c r="G17" s="57" t="n">
        <x:v>0.03</x:v>
      </x:c>
      <x:c r="H17" s="56" t="str">
        <x:v>%</x:v>
      </x:c>
    </x:row>
    <x:row r="20" ht="24" customHeight="1">
      <x:c r="A20" s="12" t="str">
        <x:v>One-time implementation effort</x:v>
      </x:c>
      <x:c r="B20" s="12"/>
      <x:c r="C20" s="12"/>
      <x:c r="D20" s="12"/>
      <x:c r="F20" s="12" t="str">
        <x:v>Risk-adjusted benefit drivers</x:v>
      </x:c>
      <x:c r="G20" s="12"/>
      <x:c r="H20" s="12"/>
    </x:row>
    <x:row r="21" ht="25" customHeight="1">
      <x:c r="A21" s="20" t="str">
        <x:v>Role</x:v>
      </x:c>
      <x:c r="B21" s="21" t="str">
        <x:v>Person-days</x:v>
      </x:c>
      <x:c r="C21" s="21" t="str">
        <x:v>Loaded rate / day</x:v>
      </x:c>
      <x:c r="D21" s="22" t="str">
        <x:v>Extended cost</x:v>
      </x:c>
      <x:c r="F21" s="20" t="str">
        <x:v>Driver</x:v>
      </x:c>
      <x:c r="G21" s="21" t="str">
        <x:v>Value</x:v>
      </x:c>
      <x:c r="H21" s="22" t="str">
        <x:v>Unit</x:v>
      </x:c>
    </x:row>
    <x:row r="22">
      <x:c r="A22" s="54" t="str">
        <x:v>Solution architecture</x:v>
      </x:c>
      <x:c r="B22" s="66" t="n">
        <x:v>35</x:v>
      </x:c>
      <x:c r="C22" s="67" t="n">
        <x:v>2500</x:v>
      </x:c>
      <x:c r="D22" s="68" t="n">
        <x:f>B22*C22</x:f>
        <x:v>87500</x:v>
      </x:c>
      <x:c r="F22" s="54" t="str">
        <x:v>Material incidents / year</x:v>
      </x:c>
      <x:c r="G22" s="55" t="n">
        <x:v>4</x:v>
      </x:c>
      <x:c r="H22" s="54" t="str">
        <x:v>incidents</x:v>
      </x:c>
    </x:row>
    <x:row r="23">
      <x:c r="A23" s="56" t="str">
        <x:v>Application/domain engineering</x:v>
      </x:c>
      <x:c r="B23" s="69" t="n">
        <x:v>70</x:v>
      </x:c>
      <x:c r="C23" s="70" t="n">
        <x:v>2200</x:v>
      </x:c>
      <x:c r="D23" s="71" t="n">
        <x:f>B23*C23</x:f>
        <x:v>154000</x:v>
      </x:c>
      <x:c r="F23" s="56" t="str">
        <x:v>Average impact / incident</x:v>
      </x:c>
      <x:c r="G23" s="77" t="n">
        <x:v>1500000</x:v>
      </x:c>
      <x:c r="H23" s="56" t="str">
        <x:v>CNY</x:v>
      </x:c>
    </x:row>
    <x:row r="24">
      <x:c r="A24" s="56" t="str">
        <x:v>Platform/SRE engineering</x:v>
      </x:c>
      <x:c r="B24" s="69" t="n">
        <x:v>55</x:v>
      </x:c>
      <x:c r="C24" s="70" t="n">
        <x:v>2200</x:v>
      </x:c>
      <x:c r="D24" s="71" t="n">
        <x:f>B24*C24</x:f>
        <x:v>121000</x:v>
      </x:c>
      <x:c r="F24" s="56" t="str">
        <x:v>Expected incident reduction</x:v>
      </x:c>
      <x:c r="G24" s="57" t="n">
        <x:v>0.45</x:v>
      </x:c>
      <x:c r="H24" s="56" t="str">
        <x:v>%</x:v>
      </x:c>
    </x:row>
    <x:row r="25">
      <x:c r="A25" s="56" t="str">
        <x:v>Security + model governance</x:v>
      </x:c>
      <x:c r="B25" s="69" t="n">
        <x:v>35</x:v>
      </x:c>
      <x:c r="C25" s="70" t="n">
        <x:v>2500</x:v>
      </x:c>
      <x:c r="D25" s="71" t="n">
        <x:f>B25*C25</x:f>
        <x:v>87500</x:v>
      </x:c>
      <x:c r="F25" s="56" t="str">
        <x:v>Avoided-loss confidence</x:v>
      </x:c>
      <x:c r="G25" s="57" t="n">
        <x:v>0.7</x:v>
      </x:c>
      <x:c r="H25" s="56" t="str">
        <x:v>%</x:v>
      </x:c>
    </x:row>
    <x:row r="26">
      <x:c r="A26" s="56" t="str">
        <x:v>Program, training and handover</x:v>
      </x:c>
      <x:c r="B26" s="69" t="n">
        <x:v>30</x:v>
      </x:c>
      <x:c r="C26" s="70" t="n">
        <x:v>1800</x:v>
      </x:c>
      <x:c r="D26" s="71" t="n">
        <x:f>B26*C26</x:f>
        <x:v>54000</x:v>
      </x:c>
      <x:c r="F26" s="56" t="str">
        <x:v>Investigations / year</x:v>
      </x:c>
      <x:c r="G26" s="59" t="n">
        <x:v>12</x:v>
      </x:c>
      <x:c r="H26" s="56" t="str">
        <x:v>incidents</x:v>
      </x:c>
    </x:row>
    <x:row r="27">
      <x:c r="A27" s="41" t="str">
        <x:v>Implementation total</x:v>
      </x:c>
      <x:c r="B27" s="41"/>
      <x:c r="C27" s="41"/>
      <x:c r="D27" s="42" t="n">
        <x:f>SUM(D22:D26)</x:f>
        <x:v>504000</x:v>
      </x:c>
      <x:c r="F27" s="56" t="str">
        <x:v>Hours reduced / investigation</x:v>
      </x:c>
      <x:c r="G27" s="59" t="n">
        <x:v>8</x:v>
      </x:c>
      <x:c r="H27" s="56" t="str">
        <x:v>hours</x:v>
      </x:c>
    </x:row>
    <x:row r="28">
      <x:c r="F28" s="56" t="str">
        <x:v>People per investigation</x:v>
      </x:c>
      <x:c r="G28" s="59" t="n">
        <x:v>5</x:v>
      </x:c>
      <x:c r="H28" s="56" t="str">
        <x:v>people</x:v>
      </x:c>
    </x:row>
    <x:row r="29">
      <x:c r="F29" s="56" t="str">
        <x:v>Loaded hourly cost</x:v>
      </x:c>
      <x:c r="G29" s="77" t="n">
        <x:v>350</x:v>
      </x:c>
      <x:c r="H29" s="56" t="str">
        <x:v>CNY/hour</x:v>
      </x:c>
    </x:row>
    <x:row r="30" ht="24" customHeight="1">
      <x:c r="A30" s="12" t="str">
        <x:v>Illustrative monthly cloud run-rate by responsibility</x:v>
      </x:c>
      <x:c r="B30" s="12"/>
      <x:c r="C30" s="12"/>
      <x:c r="D30" s="12"/>
      <x:c r="F30" s="56" t="str">
        <x:v>MTTR realization</x:v>
      </x:c>
      <x:c r="G30" s="57" t="n">
        <x:v>0.8</x:v>
      </x:c>
      <x:c r="H30" s="56" t="str">
        <x:v>%</x:v>
      </x:c>
    </x:row>
    <x:row r="31" ht="25" customHeight="1">
      <x:c r="A31" s="20" t="str">
        <x:v>Capability</x:v>
      </x:c>
      <x:c r="B31" s="21" t="str">
        <x:v>Monthly input</x:v>
      </x:c>
      <x:c r="C31" s="21" t="str">
        <x:v>Unit</x:v>
      </x:c>
      <x:c r="D31" s="22" t="str">
        <x:v>Qualification</x:v>
      </x:c>
      <x:c r="F31" s="56" t="str">
        <x:v>Manual toil hours / year</x:v>
      </x:c>
      <x:c r="G31" s="59" t="n">
        <x:v>1800</x:v>
      </x:c>
      <x:c r="H31" s="56" t="str">
        <x:v>hours</x:v>
      </x:c>
    </x:row>
    <x:row r="32">
      <x:c r="A32" s="54" t="str">
        <x:v>ACK + ACR compute</x:v>
      </x:c>
      <x:c r="B32" s="74" t="n">
        <x:v>18000</x:v>
      </x:c>
      <x:c r="C32" s="54" t="str">
        <x:v>CNY/month</x:v>
      </x:c>
      <x:c r="D32" s="54" t="str">
        <x:v>Replace with node/ACR quote</x:v>
      </x:c>
      <x:c r="F32" s="56" t="str">
        <x:v>Toil reduction</x:v>
      </x:c>
      <x:c r="G32" s="57" t="n">
        <x:v>0.55</x:v>
      </x:c>
      <x:c r="H32" s="56" t="str">
        <x:v>%</x:v>
      </x:c>
    </x:row>
    <x:row r="33">
      <x:c r="A33" s="56" t="str">
        <x:v>OceanBase transaction authority</x:v>
      </x:c>
      <x:c r="B33" s="75" t="n">
        <x:v>26000</x:v>
      </x:c>
      <x:c r="C33" s="56" t="str">
        <x:v>CNY/month</x:v>
      </x:c>
      <x:c r="D33" s="56" t="str">
        <x:v>Replace with topology/capacity quote</x:v>
      </x:c>
      <x:c r="F33" s="56" t="str">
        <x:v>Automation hourly value</x:v>
      </x:c>
      <x:c r="G33" s="77" t="n">
        <x:v>300</x:v>
      </x:c>
      <x:c r="H33" s="56" t="str">
        <x:v>CNY/hour</x:v>
      </x:c>
    </x:row>
    <x:row r="34">
      <x:c r="A34" s="56" t="str">
        <x:v>Tair ephemeral controls</x:v>
      </x:c>
      <x:c r="B34" s="75" t="n">
        <x:v>6000</x:v>
      </x:c>
      <x:c r="C34" s="56" t="str">
        <x:v>CNY/month</x:v>
      </x:c>
      <x:c r="D34" s="56" t="str">
        <x:v>Replace with memory/QPS quote</x:v>
      </x:c>
      <x:c r="F34" s="56" t="str">
        <x:v>Toil realization</x:v>
      </x:c>
      <x:c r="G34" s="57" t="n">
        <x:v>0.7</x:v>
      </x:c>
      <x:c r="H34" s="56" t="str">
        <x:v>%</x:v>
      </x:c>
    </x:row>
    <x:row r="35">
      <x:c r="A35" s="56" t="str">
        <x:v>RocketMQ event backbone</x:v>
      </x:c>
      <x:c r="B35" s="75" t="n">
        <x:v>9000</x:v>
      </x:c>
      <x:c r="C35" s="56" t="str">
        <x:v>CNY/month</x:v>
      </x:c>
      <x:c r="D35" s="56" t="str">
        <x:v>Size advanced-message TPS</x:v>
      </x:c>
      <x:c r="F35" s="56" t="str">
        <x:v>Annual release/growth value</x:v>
      </x:c>
      <x:c r="G35" s="77" t="n">
        <x:v>800000</x:v>
      </x:c>
      <x:c r="H35" s="56" t="str">
        <x:v>CNY/year</x:v>
      </x:c>
    </x:row>
    <x:row r="36">
      <x:c r="A36" s="56" t="str">
        <x:v>Flink streaming</x:v>
      </x:c>
      <x:c r="B36" s="75" t="n">
        <x:v>12000</x:v>
      </x:c>
      <x:c r="C36" s="56" t="str">
        <x:v>CNY/month</x:v>
      </x:c>
      <x:c r="D36" s="56" t="str">
        <x:v>Replace with CU-hours</x:v>
      </x:c>
      <x:c r="F36" s="56" t="str">
        <x:v>Release/growth confidence</x:v>
      </x:c>
      <x:c r="G36" s="57" t="n">
        <x:v>0.5</x:v>
      </x:c>
      <x:c r="H36" s="56" t="str">
        <x:v>%</x:v>
      </x:c>
    </x:row>
    <x:row r="37">
      <x:c r="A37" s="56" t="str">
        <x:v>Hologres online features</x:v>
      </x:c>
      <x:c r="B37" s="75" t="n">
        <x:v>14000</x:v>
      </x:c>
      <x:c r="C37" s="56" t="str">
        <x:v>CNY/month</x:v>
      </x:c>
      <x:c r="D37" s="56" t="str">
        <x:v>Replace with compute/storage</x:v>
      </x:c>
    </x:row>
    <x:row r="38">
      <x:c r="A38" s="56" t="str">
        <x:v>PAI-EAS / model serving</x:v>
      </x:c>
      <x:c r="B38" s="75" t="n">
        <x:v>16000</x:v>
      </x:c>
      <x:c r="C38" s="56" t="str">
        <x:v>CNY/month</x:v>
      </x:c>
      <x:c r="D38" s="56" t="str">
        <x:v>Replace with measured CPU/GPU hours</x:v>
      </x:c>
    </x:row>
    <x:row r="39">
      <x:c r="A39" s="56" t="str">
        <x:v>ARMS + SLS + Prometheus</x:v>
      </x:c>
      <x:c r="B39" s="75" t="n">
        <x:v>9000</x:v>
      </x:c>
      <x:c r="C39" s="56" t="str">
        <x:v>CNY/month</x:v>
      </x:c>
      <x:c r="D39" s="56" t="str">
        <x:v>Replace with ingest/series/retention</x:v>
      </x:c>
    </x:row>
    <x:row r="40">
      <x:c r="A40" s="56" t="str">
        <x:v>Network + WAF + ALB + KMS</x:v>
      </x:c>
      <x:c r="B40" s="75" t="n">
        <x:v>7000</x:v>
      </x:c>
      <x:c r="C40" s="56" t="str">
        <x:v>CNY/month</x:v>
      </x:c>
      <x:c r="D40" s="56" t="str">
        <x:v>Replace with traffic/policy quote</x:v>
      </x:c>
    </x:row>
    <x:row r="41">
      <x:c r="A41" s="56" t="str">
        <x:v>Backup and DR reserve</x:v>
      </x:c>
      <x:c r="B41" s="75" t="n">
        <x:v>8000</x:v>
      </x:c>
      <x:c r="C41" s="56" t="str">
        <x:v>CNY/month</x:v>
      </x:c>
      <x:c r="D41" s="56" t="str">
        <x:v>Replace with RPO/RTO design</x:v>
      </x:c>
    </x:row>
    <x:row r="42">
      <x:c r="A42" s="41" t="str">
        <x:v>Monthly cloud total</x:v>
      </x:c>
      <x:c r="B42" s="42" t="n">
        <x:f>SUM(B32:B41)</x:f>
        <x:v>125000</x:v>
      </x:c>
      <x:c r="C42" s="41"/>
      <x:c r="D42" s="41"/>
    </x:row>
  </x:sheetData>
  <x:mergeCells>
    <x:mergeCell ref="A1:H1"/>
    <x:mergeCell ref="A2:H2"/>
    <x:mergeCell ref="A10:D10"/>
    <x:mergeCell ref="A20:D20"/>
    <x:mergeCell ref="A27:C27"/>
    <x:mergeCell ref="A30:D30"/>
    <x:mergeCell ref="F10:H10"/>
    <x:mergeCell ref="F20:H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1" hidden="0" customWidth="1"/>
  </x:cols>
  <x:sheetData>
    <x:row r="1" ht="34" customHeight="1">
      <x:c r="A1" s="3" t="str">
        <x:v>Three-year total cost of ownership</x:v>
      </x:c>
      <x:c r="B1" s="3"/>
      <x:c r="C1" s="3"/>
      <x:c r="D1" s="3"/>
      <x:c r="E1" s="3"/>
      <x:c r="F1" s="3"/>
      <x:c r="G1" s="3"/>
    </x:row>
    <x:row r="2" ht="30" customHeight="1">
      <x:c r="A2" s="7" t="str">
        <x:v>Formula-driven from Assumptions. Year 0 is implementation; values exclude tax and unquoted discounts.</x:v>
      </x:c>
      <x:c r="B2" s="7"/>
      <x:c r="C2" s="7"/>
      <x:c r="D2" s="7"/>
      <x:c r="E2" s="7"/>
      <x:c r="F2" s="7"/>
      <x:c r="G2" s="7"/>
    </x:row>
    <x:row r="4" ht="25" customHeight="1">
      <x:c r="A4" s="20" t="str">
        <x:v>Cost category</x:v>
      </x:c>
      <x:c r="B4" s="21" t="str">
        <x:v>Year 0</x:v>
      </x:c>
      <x:c r="C4" s="21" t="str">
        <x:v>Year 1</x:v>
      </x:c>
      <x:c r="D4" s="21" t="str">
        <x:v>Year 2</x:v>
      </x:c>
      <x:c r="E4" s="21" t="str">
        <x:v>Year 3</x:v>
      </x:c>
      <x:c r="F4" s="21" t="str">
        <x:v>3Y total</x:v>
      </x:c>
      <x:c r="G4" s="22" t="str">
        <x:v>Driver</x:v>
      </x:c>
    </x:row>
    <x:row r="5">
      <x:c r="A5" s="54" t="str">
        <x:v>Implementation</x:v>
      </x:c>
      <x:c r="B5" s="68" t="n">
        <x:f>'Assumptions'!D27</x:f>
        <x:v>504000</x:v>
      </x:c>
      <x:c r="C5" s="68"/>
      <x:c r="D5" s="68"/>
      <x:c r="E5" s="68"/>
      <x:c r="F5" s="68" t="n">
        <x:f>SUM(B5:E5)</x:f>
        <x:v>504000</x:v>
      </x:c>
      <x:c r="G5" s="54" t="str">
        <x:v>Person-days × loaded rate</x:v>
      </x:c>
    </x:row>
    <x:row r="6">
      <x:c r="A6" s="56" t="str">
        <x:v>Migration / integration</x:v>
      </x:c>
      <x:c r="B6" s="71" t="n">
        <x:f>'Assumptions'!G15</x:f>
        <x:v>200000</x:v>
      </x:c>
      <x:c r="C6" s="71"/>
      <x:c r="D6" s="71"/>
      <x:c r="E6" s="71"/>
      <x:c r="F6" s="71" t="n">
        <x:f>SUM(B6:E6)</x:f>
        <x:v>200000</x:v>
      </x:c>
      <x:c r="G6" s="56" t="str">
        <x:v>Customer integrations/migration</x:v>
      </x:c>
    </x:row>
    <x:row r="7">
      <x:c r="A7" s="56" t="str">
        <x:v>Operations + support</x:v>
      </x:c>
      <x:c r="B7" s="71"/>
      <x:c r="C7" s="71" t="n">
        <x:f>'Assumptions'!G12*'Assumptions'!G13+'Assumptions'!G14</x:f>
        <x:v>624000</x:v>
      </x:c>
      <x:c r="D7" s="71" t="n">
        <x:f>C7*(1+'Assumptions'!G17)</x:f>
        <x:v>642720</x:v>
      </x:c>
      <x:c r="E7" s="71" t="n">
        <x:f>D7*(1+'Assumptions'!G17)</x:f>
        <x:v>662001.6</x:v>
      </x:c>
      <x:c r="F7" s="71" t="n">
        <x:f>SUM(B7:E7)</x:f>
        <x:v>1928721.6</x:v>
      </x:c>
      <x:c r="G7" s="56" t="str">
        <x:v>FTE + managed support</x:v>
      </x:c>
    </x:row>
    <x:row r="8">
      <x:c r="A8" s="56"/>
      <x:c r="B8" s="71"/>
      <x:c r="C8" s="71"/>
      <x:c r="D8" s="71"/>
      <x:c r="E8" s="71"/>
      <x:c r="F8" s="71"/>
      <x:c r="G8" s="56"/>
    </x:row>
    <x:row r="9">
      <x:c r="A9" s="56" t="str">
        <x:v>ACK + ACR compute</x:v>
      </x:c>
      <x:c r="B9" s="71"/>
      <x:c r="C9" s="71" t="n">
        <x:f>'Assumptions'!B32*12</x:f>
        <x:v>216000</x:v>
      </x:c>
      <x:c r="D9" s="71" t="n">
        <x:f>C9*(1+'Assumptions'!B15)*(1+'Assumptions'!B16)</x:f>
        <x:v>278100</x:v>
      </x:c>
      <x:c r="E9" s="71" t="n">
        <x:f>D9*(1+'Assumptions'!B15)*(1+'Assumptions'!B16)</x:f>
        <x:v>358053.75</x:v>
      </x:c>
      <x:c r="F9" s="71" t="n">
        <x:f>SUM(B9:E9)</x:f>
        <x:v>852153.75</x:v>
      </x:c>
      <x:c r="G9" s="56" t="str">
        <x:v>Monthly input × 12 × growth</x:v>
      </x:c>
    </x:row>
    <x:row r="10">
      <x:c r="A10" s="56" t="str">
        <x:v>OceanBase</x:v>
      </x:c>
      <x:c r="B10" s="71"/>
      <x:c r="C10" s="71" t="n">
        <x:f>'Assumptions'!B33*12</x:f>
        <x:v>312000</x:v>
      </x:c>
      <x:c r="D10" s="71" t="n">
        <x:f>C10*(1+'Assumptions'!B15)*(1+'Assumptions'!B16)</x:f>
        <x:v>401700</x:v>
      </x:c>
      <x:c r="E10" s="71" t="n">
        <x:f>D10*(1+'Assumptions'!B15)*(1+'Assumptions'!B16)</x:f>
        <x:v>517188.75</x:v>
      </x:c>
      <x:c r="F10" s="71" t="n">
        <x:f>SUM(B10:E10)</x:f>
        <x:v>1230888.75</x:v>
      </x:c>
      <x:c r="G10" s="56" t="str">
        <x:v>Monthly input × 12 × growth</x:v>
      </x:c>
    </x:row>
    <x:row r="11">
      <x:c r="A11" s="56" t="str">
        <x:v>Tair</x:v>
      </x:c>
      <x:c r="B11" s="71"/>
      <x:c r="C11" s="71" t="n">
        <x:f>'Assumptions'!B34*12</x:f>
        <x:v>72000</x:v>
      </x:c>
      <x:c r="D11" s="71" t="n">
        <x:f>C11*(1+'Assumptions'!B15)*(1+'Assumptions'!B16)</x:f>
        <x:v>92700</x:v>
      </x:c>
      <x:c r="E11" s="71" t="n">
        <x:f>D11*(1+'Assumptions'!B15)*(1+'Assumptions'!B16)</x:f>
        <x:v>119351.25</x:v>
      </x:c>
      <x:c r="F11" s="71" t="n">
        <x:f>SUM(B11:E11)</x:f>
        <x:v>284051.25</x:v>
      </x:c>
      <x:c r="G11" s="56" t="str">
        <x:v>Monthly input × 12 × growth</x:v>
      </x:c>
    </x:row>
    <x:row r="12">
      <x:c r="A12" s="56" t="str">
        <x:v>RocketMQ</x:v>
      </x:c>
      <x:c r="B12" s="71"/>
      <x:c r="C12" s="71" t="n">
        <x:f>'Assumptions'!B35*12</x:f>
        <x:v>108000</x:v>
      </x:c>
      <x:c r="D12" s="71" t="n">
        <x:f>C12*(1+'Assumptions'!B15)*(1+'Assumptions'!B16)</x:f>
        <x:v>139050</x:v>
      </x:c>
      <x:c r="E12" s="71" t="n">
        <x:f>D12*(1+'Assumptions'!B15)*(1+'Assumptions'!B16)</x:f>
        <x:v>179026.875</x:v>
      </x:c>
      <x:c r="F12" s="71" t="n">
        <x:f>SUM(B12:E12)</x:f>
        <x:v>426076.875</x:v>
      </x:c>
      <x:c r="G12" s="56" t="str">
        <x:v>Monthly input × 12 × growth</x:v>
      </x:c>
    </x:row>
    <x:row r="13">
      <x:c r="A13" s="56" t="str">
        <x:v>Flink</x:v>
      </x:c>
      <x:c r="B13" s="71"/>
      <x:c r="C13" s="71" t="n">
        <x:f>'Assumptions'!B36*12</x:f>
        <x:v>144000</x:v>
      </x:c>
      <x:c r="D13" s="71" t="n">
        <x:f>C13*(1+'Assumptions'!B15)*(1+'Assumptions'!B16)</x:f>
        <x:v>185400</x:v>
      </x:c>
      <x:c r="E13" s="71" t="n">
        <x:f>D13*(1+'Assumptions'!B15)*(1+'Assumptions'!B16)</x:f>
        <x:v>238702.5</x:v>
      </x:c>
      <x:c r="F13" s="71" t="n">
        <x:f>SUM(B13:E13)</x:f>
        <x:v>568102.5</x:v>
      </x:c>
      <x:c r="G13" s="56" t="str">
        <x:v>Monthly input × 12 × growth</x:v>
      </x:c>
    </x:row>
    <x:row r="14">
      <x:c r="A14" s="56" t="str">
        <x:v>Hologres</x:v>
      </x:c>
      <x:c r="B14" s="71"/>
      <x:c r="C14" s="71" t="n">
        <x:f>'Assumptions'!B37*12</x:f>
        <x:v>168000</x:v>
      </x:c>
      <x:c r="D14" s="71" t="n">
        <x:f>C14*(1+'Assumptions'!B15)*(1+'Assumptions'!B16)</x:f>
        <x:v>216300</x:v>
      </x:c>
      <x:c r="E14" s="71" t="n">
        <x:f>D14*(1+'Assumptions'!B15)*(1+'Assumptions'!B16)</x:f>
        <x:v>278486.25</x:v>
      </x:c>
      <x:c r="F14" s="71" t="n">
        <x:f>SUM(B14:E14)</x:f>
        <x:v>662786.25</x:v>
      </x:c>
      <x:c r="G14" s="56" t="str">
        <x:v>Monthly input × 12 × growth</x:v>
      </x:c>
    </x:row>
    <x:row r="15">
      <x:c r="A15" s="56" t="str">
        <x:v>PAI-EAS</x:v>
      </x:c>
      <x:c r="B15" s="71"/>
      <x:c r="C15" s="71" t="n">
        <x:f>'Assumptions'!B38*12</x:f>
        <x:v>192000</x:v>
      </x:c>
      <x:c r="D15" s="71" t="n">
        <x:f>C15*(1+'Assumptions'!B15)*(1+'Assumptions'!B16)</x:f>
        <x:v>247200</x:v>
      </x:c>
      <x:c r="E15" s="71" t="n">
        <x:f>D15*(1+'Assumptions'!B15)*(1+'Assumptions'!B16)</x:f>
        <x:v>318270</x:v>
      </x:c>
      <x:c r="F15" s="71" t="n">
        <x:f>SUM(B15:E15)</x:f>
        <x:v>757470</x:v>
      </x:c>
      <x:c r="G15" s="56" t="str">
        <x:v>Monthly input × 12 × growth</x:v>
      </x:c>
    </x:row>
    <x:row r="16">
      <x:c r="A16" s="56" t="str">
        <x:v>Observability</x:v>
      </x:c>
      <x:c r="B16" s="71"/>
      <x:c r="C16" s="71" t="n">
        <x:f>'Assumptions'!B39*12</x:f>
        <x:v>108000</x:v>
      </x:c>
      <x:c r="D16" s="71" t="n">
        <x:f>C16*(1+'Assumptions'!B15)*(1+'Assumptions'!B16)</x:f>
        <x:v>139050</x:v>
      </x:c>
      <x:c r="E16" s="71" t="n">
        <x:f>D16*(1+'Assumptions'!B15)*(1+'Assumptions'!B16)</x:f>
        <x:v>179026.875</x:v>
      </x:c>
      <x:c r="F16" s="71" t="n">
        <x:f>SUM(B16:E16)</x:f>
        <x:v>426076.875</x:v>
      </x:c>
      <x:c r="G16" s="56" t="str">
        <x:v>Monthly input × 12 × growth</x:v>
      </x:c>
    </x:row>
    <x:row r="17">
      <x:c r="A17" s="56" t="str">
        <x:v>Network/security</x:v>
      </x:c>
      <x:c r="B17" s="71"/>
      <x:c r="C17" s="71" t="n">
        <x:f>'Assumptions'!B40*12</x:f>
        <x:v>84000</x:v>
      </x:c>
      <x:c r="D17" s="71" t="n">
        <x:f>C17*(1+'Assumptions'!B15)*(1+'Assumptions'!B16)</x:f>
        <x:v>108150</x:v>
      </x:c>
      <x:c r="E17" s="71" t="n">
        <x:f>D17*(1+'Assumptions'!B15)*(1+'Assumptions'!B16)</x:f>
        <x:v>139243.125</x:v>
      </x:c>
      <x:c r="F17" s="71" t="n">
        <x:f>SUM(B17:E17)</x:f>
        <x:v>331393.125</x:v>
      </x:c>
      <x:c r="G17" s="56" t="str">
        <x:v>Monthly input × 12 × growth</x:v>
      </x:c>
    </x:row>
    <x:row r="18">
      <x:c r="A18" s="56" t="str">
        <x:v>Backup/DR</x:v>
      </x:c>
      <x:c r="B18" s="71"/>
      <x:c r="C18" s="71" t="n">
        <x:f>'Assumptions'!B41*12</x:f>
        <x:v>96000</x:v>
      </x:c>
      <x:c r="D18" s="71" t="n">
        <x:f>C18*(1+'Assumptions'!B15)*(1+'Assumptions'!B16)</x:f>
        <x:v>123600</x:v>
      </x:c>
      <x:c r="E18" s="71" t="n">
        <x:f>D18*(1+'Assumptions'!B15)*(1+'Assumptions'!B16)</x:f>
        <x:v>159135</x:v>
      </x:c>
      <x:c r="F18" s="71" t="n">
        <x:f>SUM(B18:E18)</x:f>
        <x:v>378735</x:v>
      </x:c>
      <x:c r="G18" s="56" t="str">
        <x:v>Monthly input × 12 × growth</x:v>
      </x:c>
    </x:row>
    <x:row r="19">
      <x:c r="A19" s="56"/>
      <x:c r="B19" s="71"/>
      <x:c r="C19" s="71"/>
      <x:c r="D19" s="71"/>
      <x:c r="E19" s="71"/>
      <x:c r="F19" s="71"/>
      <x:c r="G19" s="56"/>
    </x:row>
    <x:row r="20">
      <x:c r="A20" s="56" t="str">
        <x:v>Exit / decommission reserve</x:v>
      </x:c>
      <x:c r="B20" s="71"/>
      <x:c r="C20" s="71"/>
      <x:c r="D20" s="71"/>
      <x:c r="E20" s="71" t="n">
        <x:f>'Assumptions'!G16</x:f>
        <x:v>250000</x:v>
      </x:c>
      <x:c r="F20" s="71" t="n">
        <x:f>SUM(B20:E20)</x:f>
        <x:v>250000</x:v>
      </x:c>
      <x:c r="G20" s="56" t="str">
        <x:v>Year 3 reserve</x:v>
      </x:c>
    </x:row>
    <x:row r="21">
      <x:c r="B21" s="37"/>
      <x:c r="C21" s="37"/>
      <x:c r="D21" s="37"/>
      <x:c r="E21" s="37"/>
      <x:c r="F21" s="37"/>
    </x:row>
    <x:row r="22">
      <x:c r="A22" s="79" t="str">
        <x:v>TOTAL TCO</x:v>
      </x:c>
      <x:c r="B22" s="80" t="n">
        <x:f>SUM(B5:B20)</x:f>
        <x:v>704000</x:v>
      </x:c>
      <x:c r="C22" s="80" t="n">
        <x:f>SUM(C5:C20)</x:f>
        <x:v>2124000</x:v>
      </x:c>
      <x:c r="D22" s="80" t="n">
        <x:f>SUM(D5:D20)</x:f>
        <x:v>2573970</x:v>
      </x:c>
      <x:c r="E22" s="80" t="n">
        <x:f>SUM(E5:E20)</x:f>
        <x:v>3398485.975</x:v>
      </x:c>
      <x:c r="F22" s="80" t="n">
        <x:f>SUM(F5:F20)</x:f>
        <x:v>8800455.975</x:v>
      </x:c>
      <x:c r="G22" s="79"/>
    </x:row>
    <x:row r="24" ht="25" customHeight="1">
      <x:c r="A24" s="20" t="str">
        <x:v>Unit economics</x:v>
      </x:c>
      <x:c r="B24" s="21" t="str">
        <x:v>Year 0</x:v>
      </x:c>
      <x:c r="C24" s="21" t="str">
        <x:v>Year 1</x:v>
      </x:c>
      <x:c r="D24" s="21" t="str">
        <x:v>Year 2</x:v>
      </x:c>
      <x:c r="E24" s="21" t="str">
        <x:v>Year 3</x:v>
      </x:c>
      <x:c r="F24" s="21" t="str">
        <x:v>3Y average</x:v>
      </x:c>
      <x:c r="G24" s="22" t="str">
        <x:v>Definition</x:v>
      </x:c>
    </x:row>
    <x:row r="25">
      <x:c r="A25" t="str">
        <x:v>Completed transactions</x:v>
      </x:c>
      <x:c r="C25" s="81" t="n">
        <x:f>'Assumptions'!B14*12</x:f>
        <x:v>36000000</x:v>
      </x:c>
      <x:c r="D25" s="81" t="n">
        <x:f>C25*(1+'Assumptions'!B15)</x:f>
        <x:v>45000000</x:v>
      </x:c>
      <x:c r="E25" s="81" t="n">
        <x:f>D25*(1+'Assumptions'!B15)</x:f>
        <x:v>56250000</x:v>
      </x:c>
      <x:c r="F25" s="81" t="n">
        <x:f>SUM(C25:E25)</x:f>
        <x:v>137250000</x:v>
      </x:c>
      <x:c r="G25" t="str">
        <x:v>Monthly volume × 12 × growth</x:v>
      </x:c>
    </x:row>
    <x:row r="26">
      <x:c r="A26" t="str">
        <x:v>Cost / 1,000 transactions</x:v>
      </x:c>
      <x:c r="C26" s="37" t="n">
        <x:f>C22/C25*1000</x:f>
        <x:v>59</x:v>
      </x:c>
      <x:c r="D26" s="37" t="n">
        <x:f>D22/D25*1000</x:f>
        <x:v>57.19933333333333</x:v>
      </x:c>
      <x:c r="E26" s="37" t="n">
        <x:f>E22/E25*1000</x:f>
        <x:v>60.41752844444444</x:v>
      </x:c>
      <x:c r="F26" s="37" t="n">
        <x:f>SUM(C22:E22)/SUM(C25:E25)*1000</x:f>
        <x:v>58.99057176684881</x:v>
      </x:c>
      <x:c r="G26" t="str">
        <x:v>Annual TCO / volume × 1,000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5" hidden="0" customWidth="1"/>
  </x:cols>
  <x:sheetData>
    <x:row r="1" ht="34" customHeight="1">
      <x:c r="A1" s="3" t="str">
        <x:v>Risk-adjusted annual benefits</x:v>
      </x:c>
      <x:c r="B1" s="3"/>
      <x:c r="C1" s="3"/>
      <x:c r="D1" s="3"/>
      <x:c r="E1" s="3"/>
      <x:c r="F1" s="3"/>
      <x:c r="G1" s="3"/>
    </x:row>
    <x:row r="2" ht="30" customHeight="1">
      <x:c r="A2" s="7" t="str">
        <x:v>Benefits are probability-weighted hypotheses. Replace with customer baselines and finance-approved confidence.</x:v>
      </x:c>
      <x:c r="B2" s="7"/>
      <x:c r="C2" s="7"/>
      <x:c r="D2" s="7"/>
      <x:c r="E2" s="7"/>
      <x:c r="F2" s="7"/>
      <x:c r="G2" s="7"/>
    </x:row>
    <x:row r="4" ht="25" customHeight="1">
      <x:c r="A4" s="20" t="str">
        <x:v>Benefit</x:v>
      </x:c>
      <x:c r="B4" s="21" t="str">
        <x:v>Year 0</x:v>
      </x:c>
      <x:c r="C4" s="21" t="str">
        <x:v>Year 1</x:v>
      </x:c>
      <x:c r="D4" s="21" t="str">
        <x:v>Year 2</x:v>
      </x:c>
      <x:c r="E4" s="21" t="str">
        <x:v>Year 3</x:v>
      </x:c>
      <x:c r="F4" s="21" t="str">
        <x:v>3Y total</x:v>
      </x:c>
      <x:c r="G4" s="22" t="str">
        <x:v>Formula</x:v>
      </x:c>
    </x:row>
    <x:row r="5">
      <x:c r="A5" s="54" t="str">
        <x:v>Avoided material loss</x:v>
      </x:c>
      <x:c r="B5" s="68"/>
      <x:c r="C5" s="68" t="n">
        <x:f>'Assumptions'!G22*'Assumptions'!G23*'Assumptions'!G24*'Assumptions'!G25</x:f>
        <x:v>1889999.9999999998</x:v>
      </x:c>
      <x:c r="D5" s="68" t="n">
        <x:f>C5*(1+'Assumptions'!B15)</x:f>
        <x:v>2362499.9999999995</x:v>
      </x:c>
      <x:c r="E5" s="68" t="n">
        <x:f>D5*(1+'Assumptions'!B15)</x:f>
        <x:v>2953124.9999999995</x:v>
      </x:c>
      <x:c r="F5" s="68" t="n">
        <x:f>SUM(B5:E5)</x:f>
        <x:v>7205624.999999998</x:v>
      </x:c>
      <x:c r="G5" s="54" t="str">
        <x:v>Incidents × impact × reduction × confidence</x:v>
      </x:c>
    </x:row>
    <x:row r="6">
      <x:c r="A6" s="56" t="str">
        <x:v>Reduced investigation effort</x:v>
      </x:c>
      <x:c r="B6" s="71"/>
      <x:c r="C6" s="71" t="n">
        <x:f>'Assumptions'!G26*'Assumptions'!G27*'Assumptions'!G28*'Assumptions'!G29*'Assumptions'!G30</x:f>
        <x:v>134400</x:v>
      </x:c>
      <x:c r="D6" s="71" t="n">
        <x:f>C6*(1+'Assumptions'!B15)</x:f>
        <x:v>168000</x:v>
      </x:c>
      <x:c r="E6" s="71" t="n">
        <x:f>D6*(1+'Assumptions'!B15)</x:f>
        <x:v>210000</x:v>
      </x:c>
      <x:c r="F6" s="71" t="n">
        <x:f>SUM(B6:E6)</x:f>
        <x:v>512400</x:v>
      </x:c>
      <x:c r="G6" s="56" t="str">
        <x:v>Cases × hours × people × rate × realization</x:v>
      </x:c>
    </x:row>
    <x:row r="7">
      <x:c r="A7" s="56" t="str">
        <x:v>Reduced manual toil</x:v>
      </x:c>
      <x:c r="B7" s="71"/>
      <x:c r="C7" s="71" t="n">
        <x:f>'Assumptions'!G31*'Assumptions'!G32*'Assumptions'!G33*'Assumptions'!G34</x:f>
        <x:v>207900.00000000003</x:v>
      </x:c>
      <x:c r="D7" s="71" t="n">
        <x:f>C7*(1+'Assumptions'!B15)</x:f>
        <x:v>259875.00000000003</x:v>
      </x:c>
      <x:c r="E7" s="71" t="n">
        <x:f>D7*(1+'Assumptions'!B15)</x:f>
        <x:v>324843.75000000006</x:v>
      </x:c>
      <x:c r="F7" s="71" t="n">
        <x:f>SUM(B7:E7)</x:f>
        <x:v>792618.7500000001</x:v>
      </x:c>
      <x:c r="G7" s="56" t="str">
        <x:v>Hours × reduction × rate × realization</x:v>
      </x:c>
    </x:row>
    <x:row r="8">
      <x:c r="A8" s="56" t="str">
        <x:v>Release / growth contribution</x:v>
      </x:c>
      <x:c r="B8" s="71"/>
      <x:c r="C8" s="71" t="n">
        <x:f>'Assumptions'!G35*'Assumptions'!G36</x:f>
        <x:v>400000</x:v>
      </x:c>
      <x:c r="D8" s="71" t="n">
        <x:f>C8*(1+'Assumptions'!B15)</x:f>
        <x:v>500000</x:v>
      </x:c>
      <x:c r="E8" s="71" t="n">
        <x:f>D8*(1+'Assumptions'!B15)</x:f>
        <x:v>625000</x:v>
      </x:c>
      <x:c r="F8" s="71" t="n">
        <x:f>SUM(B8:E8)</x:f>
        <x:v>1525000</x:v>
      </x:c>
      <x:c r="G8" s="56" t="str">
        <x:v>Annual value × confidence</x:v>
      </x:c>
    </x:row>
    <x:row r="9">
      <x:c r="B9" s="37"/>
      <x:c r="C9" s="37"/>
      <x:c r="D9" s="37"/>
      <x:c r="E9" s="37"/>
      <x:c r="F9" s="37"/>
    </x:row>
    <x:row r="10">
      <x:c r="A10" s="78" t="str">
        <x:v>TOTAL BENEFITS</x:v>
      </x:c>
      <x:c r="B10" s="82" t="n">
        <x:f>SUM(B5:B8)</x:f>
        <x:v>0</x:v>
      </x:c>
      <x:c r="C10" s="82" t="n">
        <x:f>SUM(C5:C8)</x:f>
        <x:v>2632300</x:v>
      </x:c>
      <x:c r="D10" s="82" t="n">
        <x:f>SUM(D5:D8)</x:f>
        <x:v>3290374.9999999995</x:v>
      </x:c>
      <x:c r="E10" s="82" t="n">
        <x:f>SUM(E5:E8)</x:f>
        <x:v>4112968.7499999995</x:v>
      </x:c>
      <x:c r="F10" s="82" t="n">
        <x:f>SUM(F5:F8)</x:f>
        <x:v>10035643.749999998</x:v>
      </x:c>
      <x:c r="G10" s="78"/>
    </x:row>
    <x:row r="13" ht="32" customHeight="1">
      <x:c r="A13" s="85" t="str">
        <x:v>Do not include benefits that depend on zero incidents, unsupported loss avoidance, or unowned adoption. Finance approves confidence and realization.</x:v>
      </x:c>
      <x:c r="B13" s="85"/>
      <x:c r="C13" s="85"/>
      <x:c r="D13" s="85"/>
      <x:c r="E13" s="85"/>
      <x:c r="F13" s="85"/>
      <x:c r="G13" s="85"/>
    </x:row>
  </x:sheetData>
  <x:mergeCells>
    <x:mergeCell ref="A1:G1"/>
    <x:mergeCell ref="A2:G2"/>
    <x:mergeCell ref="A13:G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4" hidden="0" customWidth="1"/>
    <x:col min="7" max="7" width="25" hidden="0" customWidth="1"/>
    <x:col min="8" max="8" width="20" hidden="0" customWidth="1"/>
  </x:cols>
  <x:sheetData>
    <x:row r="1" ht="34" customHeight="1">
      <x:c r="A1" s="3" t="str">
        <x:v>Cash flow, ROI and payback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Base case; negative values are costs. Discounted using the customer-editable annual discount rate.</x:v>
      </x:c>
      <x:c r="B2" s="7"/>
      <x:c r="C2" s="7"/>
      <x:c r="D2" s="7"/>
      <x:c r="E2" s="7"/>
      <x:c r="F2" s="7"/>
      <x:c r="G2" s="7"/>
      <x:c r="H2" s="7"/>
    </x:row>
    <x:row r="4" ht="25" customHeight="1">
      <x:c r="A4" s="20" t="str">
        <x:v>Metric</x:v>
      </x:c>
      <x:c r="B4" s="21" t="str">
        <x:v>Year 0</x:v>
      </x:c>
      <x:c r="C4" s="21" t="str">
        <x:v>Year 1</x:v>
      </x:c>
      <x:c r="D4" s="21" t="str">
        <x:v>Year 2</x:v>
      </x:c>
      <x:c r="E4" s="22" t="str">
        <x:v>Year 3</x:v>
      </x:c>
      <x:c r="G4" s="89" t="str">
        <x:v>Decision KPI</x:v>
      </x:c>
      <x:c r="H4" s="90" t="str">
        <x:v>Base result</x:v>
      </x:c>
    </x:row>
    <x:row r="5">
      <x:c r="A5" s="54" t="str">
        <x:v>Costs</x:v>
      </x:c>
      <x:c r="B5" s="68" t="n">
        <x:f>-'TCO Model'!B22</x:f>
        <x:v>-704000</x:v>
      </x:c>
      <x:c r="C5" s="68" t="n">
        <x:f>-'TCO Model'!C22</x:f>
        <x:v>-2124000</x:v>
      </x:c>
      <x:c r="D5" s="68" t="n">
        <x:f>-'TCO Model'!D22</x:f>
        <x:v>-2573970</x:v>
      </x:c>
      <x:c r="E5" s="68" t="n">
        <x:f>-'TCO Model'!E22</x:f>
        <x:v>-3398485.975</x:v>
      </x:c>
      <x:c r="G5" s="98" t="str">
        <x:v>3Y TCO</x:v>
      </x:c>
      <x:c r="H5" s="92" t="n">
        <x:f>'TCO Model'!F22</x:f>
        <x:v>8800455.975</x:v>
      </x:c>
    </x:row>
    <x:row r="6">
      <x:c r="A6" s="56" t="str">
        <x:v>Benefits</x:v>
      </x:c>
      <x:c r="B6" s="71" t="n">
        <x:f>'Benefits'!B10</x:f>
        <x:v>0</x:v>
      </x:c>
      <x:c r="C6" s="71" t="n">
        <x:f>'Benefits'!C10</x:f>
        <x:v>2632300</x:v>
      </x:c>
      <x:c r="D6" s="71" t="n">
        <x:f>'Benefits'!D10</x:f>
        <x:v>3290374.9999999995</x:v>
      </x:c>
      <x:c r="E6" s="71" t="n">
        <x:f>'Benefits'!E10</x:f>
        <x:v>4112968.7499999995</x:v>
      </x:c>
      <x:c r="G6" s="98" t="str">
        <x:v>3Y benefits</x:v>
      </x:c>
      <x:c r="H6" s="92" t="n">
        <x:f>'Benefits'!F10</x:f>
        <x:v>10035643.749999998</x:v>
      </x:c>
    </x:row>
    <x:row r="7">
      <x:c r="A7" s="56" t="str">
        <x:v>Net cash flow</x:v>
      </x:c>
      <x:c r="B7" s="71" t="n">
        <x:f>B5+B6</x:f>
        <x:v>-704000</x:v>
      </x:c>
      <x:c r="C7" s="71" t="n">
        <x:f>C5+C6</x:f>
        <x:v>508300</x:v>
      </x:c>
      <x:c r="D7" s="71" t="n">
        <x:f>D5+D6</x:f>
        <x:v>716404.9999999995</x:v>
      </x:c>
      <x:c r="E7" s="71" t="n">
        <x:f>E5+E6</x:f>
        <x:v>714482.7749999994</x:v>
      </x:c>
      <x:c r="G7" s="98" t="str">
        <x:v>Net value</x:v>
      </x:c>
      <x:c r="H7" s="92" t="n">
        <x:f>H6-H5</x:f>
        <x:v>1235187.7749999985</x:v>
      </x:c>
    </x:row>
    <x:row r="8">
      <x:c r="A8" s="56" t="str">
        <x:v>Discount factor</x:v>
      </x:c>
      <x:c r="B8" s="88" t="n">
        <x:f>1</x:f>
        <x:v>1</x:v>
      </x:c>
      <x:c r="C8" s="88" t="n">
        <x:f>1/(1+'Assumptions'!B13)</x:f>
        <x:v>0.9259259259259258</x:v>
      </x:c>
      <x:c r="D8" s="88" t="n">
        <x:f>1/(1+'Assumptions'!B13)^2</x:f>
        <x:v>0.8573388203017832</x:v>
      </x:c>
      <x:c r="E8" s="88" t="n">
        <x:f>1/(1+'Assumptions'!B13)^3</x:f>
        <x:v>0.7938322410201696</x:v>
      </x:c>
      <x:c r="G8" s="98" t="str">
        <x:v>ROI</x:v>
      </x:c>
      <x:c r="H8" s="93" t="n">
        <x:f>IF(H5=0,0,H7/H5)</x:f>
        <x:v>0.14035497461823263</x:v>
      </x:c>
    </x:row>
    <x:row r="9">
      <x:c r="A9" s="56" t="str">
        <x:v>Present value</x:v>
      </x:c>
      <x:c r="B9" s="71" t="n">
        <x:f>B7*B8</x:f>
        <x:v>-704000</x:v>
      </x:c>
      <x:c r="C9" s="71" t="n">
        <x:f>C7*C8</x:f>
        <x:v>470648.1481481481</x:v>
      </x:c>
      <x:c r="D9" s="71" t="n">
        <x:f>D7*D8</x:f>
        <x:v>614201.8175582986</x:v>
      </x:c>
      <x:c r="E9" s="71" t="n">
        <x:f>E7*E8</x:f>
        <x:v>567179.4624485591</x:v>
      </x:c>
      <x:c r="G9" s="99" t="str">
        <x:v>Payback</x:v>
      </x:c>
      <x:c r="H9" s="95" t="str">
        <x:f>IF(C11&gt;=0,"12 months",IF(D11&gt;=0,"24 months",IF(E11&gt;=0,"36 months","Beyond 36 months")))</x:f>
        <x:v>24 months</x:v>
      </x:c>
    </x:row>
    <x:row r="10">
      <x:c r="A10" s="56"/>
      <x:c r="B10" s="71"/>
      <x:c r="C10" s="71"/>
      <x:c r="D10" s="71"/>
      <x:c r="E10" s="71"/>
    </x:row>
    <x:row r="11">
      <x:c r="A11" s="56" t="str">
        <x:v>Cumulative cash flow</x:v>
      </x:c>
      <x:c r="B11" s="71" t="n">
        <x:f>B7</x:f>
        <x:v>-704000</x:v>
      </x:c>
      <x:c r="C11" s="71" t="n">
        <x:f>B11+C7</x:f>
        <x:v>-195700</x:v>
      </x:c>
      <x:c r="D11" s="71" t="n">
        <x:f>C11+D7</x:f>
        <x:v>520704.99999999953</x:v>
      </x:c>
      <x:c r="E11" s="71" t="n">
        <x:f>D11+E7</x:f>
        <x:v>1235187.774999999</x:v>
      </x:c>
    </x:row>
    <x:row r="12">
      <x:c r="A12" s="56" t="str">
        <x:v>Cumulative present value</x:v>
      </x:c>
      <x:c r="B12" s="71" t="n">
        <x:f>B9</x:f>
        <x:v>-704000</x:v>
      </x:c>
      <x:c r="C12" s="71" t="n">
        <x:f>B12+C9</x:f>
        <x:v>-233351.8518518519</x:v>
      </x:c>
      <x:c r="D12" s="71" t="n">
        <x:f>C12+D9</x:f>
        <x:v>380849.9657064467</x:v>
      </x:c>
      <x:c r="E12" s="71" t="n">
        <x:f>D12+E9</x:f>
        <x:v>948029.4281550058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49" hidden="0" customWidth="1"/>
  </x:cols>
  <x:sheetData>
    <x:row r="1" ht="34" customHeight="1">
      <x:c r="A1" s="3" t="str">
        <x:v>Scenario sensitivity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Downside/Base/Upside vary cloud load, benefit realization and one-time delivery effort. All outputs are formulas.</x:v>
      </x:c>
      <x:c r="B2" s="7"/>
      <x:c r="C2" s="7"/>
      <x:c r="D2" s="7"/>
      <x:c r="E2" s="7"/>
      <x:c r="F2" s="7"/>
      <x:c r="G2" s="7"/>
      <x:c r="H2" s="7"/>
      <x:c r="I2" s="7"/>
    </x:row>
    <x:row r="4" ht="25" customHeight="1">
      <x:c r="A4" s="20" t="str">
        <x:v>Scenario</x:v>
      </x:c>
      <x:c r="B4" s="21" t="str">
        <x:v>Cloud load</x:v>
      </x:c>
      <x:c r="C4" s="21" t="str">
        <x:v>Benefit multiplier</x:v>
      </x:c>
      <x:c r="D4" s="21" t="str">
        <x:v>One-time multiplier</x:v>
      </x:c>
      <x:c r="E4" s="21" t="str">
        <x:v>3Y TCO</x:v>
      </x:c>
      <x:c r="F4" s="21" t="str">
        <x:v>3Y benefits</x:v>
      </x:c>
      <x:c r="G4" s="21" t="str">
        <x:v>Net value</x:v>
      </x:c>
      <x:c r="H4" s="21" t="str">
        <x:v>ROI</x:v>
      </x:c>
      <x:c r="I4" s="22" t="str">
        <x:v>Interpretation</x:v>
      </x:c>
    </x:row>
    <x:row r="5">
      <x:c r="A5" s="54" t="str">
        <x:v>Downside</x:v>
      </x:c>
      <x:c r="B5" s="118" t="n">
        <x:v>0.7</x:v>
      </x:c>
      <x:c r="C5" s="119" t="n">
        <x:v>0.5</x:v>
      </x:c>
      <x:c r="D5" s="120" t="n">
        <x:v>1.2</x:v>
      </x:c>
      <x:c r="E5" s="68" t="n">
        <x:f>(SUM('TCO Model'!F5:F6)+SUM('TCO Model'!F20))*D5+SUM('TCO Model'!F9:F18)*B5+'TCO Model'!F7</x:f>
        <x:v>7215935.6625</x:v>
      </x:c>
      <x:c r="F5" s="68" t="n">
        <x:f>'Benefits'!F10*C5</x:f>
        <x:v>5017821.874999999</x:v>
      </x:c>
      <x:c r="G5" s="68" t="n">
        <x:f>F5-E5</x:f>
        <x:v>-2198113.7875000006</x:v>
      </x:c>
      <x:c r="H5" s="121" t="n">
        <x:f>IF(E5=0,0,G5/E5)</x:f>
        <x:v>-0.3046193716669658</x:v>
      </x:c>
      <x:c r="I5" s="54" t="str">
        <x:v>Lower load but weak realized value and higher delivery effort</x:v>
      </x:c>
    </x:row>
    <x:row r="6">
      <x:c r="A6" s="56" t="str">
        <x:v>Base</x:v>
      </x:c>
      <x:c r="B6" s="122" t="n">
        <x:v>1</x:v>
      </x:c>
      <x:c r="C6" s="123" t="n">
        <x:v>1</x:v>
      </x:c>
      <x:c r="D6" s="124" t="n">
        <x:v>1</x:v>
      </x:c>
      <x:c r="E6" s="71" t="n">
        <x:f>(SUM('TCO Model'!F5:F6)+SUM('TCO Model'!F20))*D6+SUM('TCO Model'!F9:F18)*B6+'TCO Model'!F7</x:f>
        <x:v>8800455.975</x:v>
      </x:c>
      <x:c r="F6" s="71" t="n">
        <x:f>'Benefits'!F10*C6</x:f>
        <x:v>10035643.749999998</x:v>
      </x:c>
      <x:c r="G6" s="71" t="n">
        <x:f>F6-E6</x:f>
        <x:v>1235187.7749999985</x:v>
      </x:c>
      <x:c r="H6" s="88" t="n">
        <x:f>IF(E6=0,0,G6/E6)</x:f>
        <x:v>0.14035497461823263</x:v>
      </x:c>
      <x:c r="I6" s="56" t="str">
        <x:v>Customer-validated base assumption set</x:v>
      </x:c>
    </x:row>
    <x:row r="7">
      <x:c r="A7" s="56" t="str">
        <x:v>Upside</x:v>
      </x:c>
      <x:c r="B7" s="122" t="n">
        <x:v>1.5</x:v>
      </x:c>
      <x:c r="C7" s="123" t="n">
        <x:v>1.35</x:v>
      </x:c>
      <x:c r="D7" s="124" t="n">
        <x:v>0.9</x:v>
      </x:c>
      <x:c r="E7" s="71" t="n">
        <x:f>(SUM('TCO Model'!F5:F6)+SUM('TCO Model'!F20))*D7+SUM('TCO Model'!F9:F18)*B7+'TCO Model'!F7</x:f>
        <x:v>11663923.1625</x:v>
      </x:c>
      <x:c r="F7" s="71" t="n">
        <x:f>'Benefits'!F10*C7</x:f>
        <x:v>13548119.062499998</x:v>
      </x:c>
      <x:c r="G7" s="71" t="n">
        <x:f>F7-E7</x:f>
        <x:v>1884195.8999999985</x:v>
      </x:c>
      <x:c r="H7" s="88" t="n">
        <x:f>IF(E7=0,0,G7/E7)</x:f>
        <x:v>0.16154049317280889</x:v>
      </x:c>
      <x:c r="I7" s="56" t="str">
        <x:v>Higher adoption/load with stronger realized value and delivery reuse</x:v>
      </x:c>
    </x:row>
    <x:row r="10">
      <x:c r="A10" s="85" t="str">
        <x:v>Decision rule: refresh this table with quoted unit prices and customer-approved benefit confidence before commercial approval.</x:v>
      </x:c>
      <x:c r="B10" s="85"/>
      <x:c r="C10" s="85"/>
      <x:c r="D10" s="85"/>
      <x:c r="E10" s="85"/>
      <x:c r="F10" s="85"/>
      <x:c r="G10" s="85"/>
      <x:c r="H10" s="85"/>
      <x:c r="I10" s="85"/>
    </x:row>
  </x:sheetData>
  <x:mergeCells>
    <x:mergeCell ref="A1:I1"/>
    <x:mergeCell ref="A2:I2"/>
    <x:mergeCell ref="A10:I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5" hidden="0" customWidth="1"/>
    <x:col min="5" max="5" width="28" hidden="0" customWidth="1"/>
  </x:cols>
  <x:sheetData>
    <x:row r="1" ht="34" customHeight="1">
      <x:c r="A1" s="3" t="str">
        <x:v>Model controls</x:v>
      </x:c>
      <x:c r="B1" s="3"/>
      <x:c r="C1" s="3"/>
      <x:c r="D1" s="3"/>
      <x:c r="E1" s="3"/>
    </x:row>
    <x:row r="2" ht="30" customHeight="1">
      <x:c r="A2" s="7" t="str">
        <x:v>PASS means formulas reconcile and required core inputs are populated; it does not validate assumptions or prices.</x:v>
      </x:c>
      <x:c r="B2" s="7"/>
      <x:c r="C2" s="7"/>
      <x:c r="D2" s="7"/>
      <x:c r="E2" s="7"/>
    </x:row>
    <x:row r="4" ht="25" customHeight="1">
      <x:c r="A4" s="20" t="str">
        <x:v>Check</x:v>
      </x:c>
      <x:c r="B4" s="21" t="str">
        <x:v>Delta / result</x:v>
      </x:c>
      <x:c r="C4" s="21" t="str">
        <x:v>Tolerance</x:v>
      </x:c>
      <x:c r="D4" s="21" t="str">
        <x:v>Status</x:v>
      </x:c>
      <x:c r="E4" s="22" t="str">
        <x:v>Where to fix</x:v>
      </x:c>
    </x:row>
    <x:row r="5">
      <x:c r="A5" s="54" t="str">
        <x:v>TCO total equals yearly totals</x:v>
      </x:c>
      <x:c r="B5" s="142" t="n">
        <x:f>'TCO Model'!F22-SUM('TCO Model'!B22:E22)</x:f>
        <x:v>0</x:v>
      </x:c>
      <x:c r="C5" s="142" t="n">
        <x:v>0.01</x:v>
      </x:c>
      <x:c r="D5" s="54" t="str">
        <x:f>IF(ABS(B5)&lt;=C5,"PASS","FAIL")</x:f>
        <x:v>PASS</x:v>
      </x:c>
      <x:c r="E5" s="54" t="str">
        <x:v>TCO Model</x:v>
      </x:c>
    </x:row>
    <x:row r="6">
      <x:c r="A6" s="56" t="str">
        <x:v>Benefit total equals yearly totals</x:v>
      </x:c>
      <x:c r="B6" s="143" t="n">
        <x:f>'Benefits'!F10-SUM('Benefits'!B10:E10)</x:f>
        <x:v>-1.862645149230957e-9</x:v>
      </x:c>
      <x:c r="C6" s="143" t="n">
        <x:v>0.01</x:v>
      </x:c>
      <x:c r="D6" s="56" t="str">
        <x:f>IF(ABS(B6)&lt;=C6,"PASS","FAIL")</x:f>
        <x:v>PASS</x:v>
      </x:c>
      <x:c r="E6" s="56" t="str">
        <x:v>Benefits</x:v>
      </x:c>
    </x:row>
    <x:row r="7">
      <x:c r="A7" s="56" t="str">
        <x:v>Net cash flow equals benefit minus cost</x:v>
      </x:c>
      <x:c r="B7" s="143" t="n">
        <x:f>SUM('Cash Flow'!B7:E7)-(SUM('Benefits'!B10:E10)-SUM('TCO Model'!B22:E22))</x:f>
        <x:v>-1.3969838619232178e-9</x:v>
      </x:c>
      <x:c r="C7" s="143" t="n">
        <x:v>0.01</x:v>
      </x:c>
      <x:c r="D7" s="56" t="str">
        <x:f>IF(ABS(B7)&lt;=C7,"PASS","FAIL")</x:f>
        <x:v>PASS</x:v>
      </x:c>
      <x:c r="E7" s="56" t="str">
        <x:v>Cash Flow</x:v>
      </x:c>
    </x:row>
    <x:row r="8">
      <x:c r="A8" s="56" t="str">
        <x:v>Sensitivity base equals base models</x:v>
      </x:c>
      <x:c r="B8" s="143" t="n">
        <x:f>'Sensitivity'!E6-'TCO Model'!F22</x:f>
        <x:v>0</x:v>
      </x:c>
      <x:c r="C8" s="143" t="n">
        <x:v>0.01</x:v>
      </x:c>
      <x:c r="D8" s="56" t="str">
        <x:f>IF(ABS(B8)&lt;=C8,"PASS","FAIL")</x:f>
        <x:v>PASS</x:v>
      </x:c>
      <x:c r="E8" s="56" t="str">
        <x:v>Sensitivity</x:v>
      </x:c>
    </x:row>
    <x:row r="9">
      <x:c r="A9" s="56" t="str">
        <x:v>Required core inputs are positive</x:v>
      </x:c>
      <x:c r="B9" s="143" t="n">
        <x:f>MIN('Assumptions'!B12,'Assumptions'!B14,'Assumptions'!B17,'Assumptions'!G12,'Assumptions'!G13)</x:f>
        <x:v>1.2</x:v>
      </x:c>
      <x:c r="C9" s="143" t="n">
        <x:v>0</x:v>
      </x:c>
      <x:c r="D9" s="56" t="str">
        <x:f>IF(B9&gt;C9,"PASS","FAIL")</x:f>
        <x:v>PASS</x:v>
      </x:c>
      <x:c r="E9" s="56" t="str">
        <x:v>Assumptions</x:v>
      </x:c>
    </x:row>
    <x:row r="10">
      <x:c r="A10" s="56" t="str">
        <x:v>Executive scenario is valid</x:v>
      </x:c>
      <x:c r="B10" s="143" t="n">
        <x:f>IF(OR('Executive Summary'!B4="Downside",'Executive Summary'!B4="Base",'Executive Summary'!B4="Upside"),1,0)</x:f>
        <x:v>1</x:v>
      </x:c>
      <x:c r="C10" s="143" t="n">
        <x:v>1</x:v>
      </x:c>
      <x:c r="D10" s="56" t="str">
        <x:f>IF(B10=C10,"PASS","FAIL")</x:f>
        <x:v>PASS</x:v>
      </x:c>
      <x:c r="E10" s="56" t="str">
        <x:v>Executive Summary B4</x:v>
      </x:c>
    </x:row>
    <x:row r="12">
      <x:c r="A12" s="145" t="str">
        <x:v>MODEL STATUS</x:v>
      </x:c>
      <x:c r="B12" s="145"/>
      <x:c r="C12" s="145"/>
      <x:c r="D12" s="145" t="str">
        <x:f>IF(COUNTIF(D5:D10,"FAIL")=0,"PASS","FAIL")</x:f>
        <x:v>PASS</x:v>
      </x:c>
      <x:c r="E12" s="145"/>
    </x:row>
  </x:sheetData>
  <x:mergeCells>
    <x:mergeCell ref="A1:E1"/>
    <x:mergeCell ref="A2:E2"/>
    <x:mergeCell ref="A12:C12"/>
    <x:mergeCell ref="D12:E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5" hidden="0" customWidth="1"/>
    <x:col min="3" max="3" width="17" hidden="0" customWidth="1"/>
    <x:col min="4" max="4" width="17" hidden="0" customWidth="1"/>
    <x:col min="5" max="5" width="17" hidden="0" customWidth="1"/>
    <x:col min="6" max="6" width="65" hidden="0" customWidth="1"/>
    <x:col min="7" max="7" width="23" hidden="0" customWidth="1"/>
    <x:col min="8" max="8" width="39" hidden="0" customWidth="1"/>
  </x:cols>
  <x:sheetData>
    <x:row r="1" ht="34" customHeight="1">
      <x:c r="A1" s="3" t="str">
        <x:v>Source and assumption register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Hardcoded model values are illustrative until replaced with customer evidence or a dated target-region quote.</x:v>
      </x:c>
      <x:c r="B2" s="7"/>
      <x:c r="C2" s="7"/>
      <x:c r="D2" s="7"/>
      <x:c r="E2" s="7"/>
      <x:c r="F2" s="7"/>
      <x:c r="G2" s="7"/>
      <x:c r="H2" s="7"/>
    </x:row>
    <x:row r="4" ht="25" customHeight="1">
      <x:c r="A4" s="20" t="str">
        <x:v>Item</x:v>
      </x:c>
      <x:c r="B4" s="21" t="str">
        <x:v>Value / scope</x:v>
      </x:c>
      <x:c r="C4" s="21" t="str">
        <x:v>Unit</x:v>
      </x:c>
      <x:c r="D4" s="21" t="str">
        <x:v>As of</x:v>
      </x:c>
      <x:c r="E4" s="21" t="str">
        <x:v>Source type</x:v>
      </x:c>
      <x:c r="F4" s="21" t="str">
        <x:v>Source / URL</x:v>
      </x:c>
      <x:c r="G4" s="21" t="str">
        <x:v>Owner</x:v>
      </x:c>
      <x:c r="H4" s="22" t="str">
        <x:v>Notes</x:v>
      </x:c>
    </x:row>
    <x:row r="5" ht="42" customHeight="1">
      <x:c r="A5" s="152" t="str">
        <x:v>Cloud unit costs</x:v>
      </x:c>
      <x:c r="B5" s="152" t="str">
        <x:v>Illustrative placeholders</x:v>
      </x:c>
      <x:c r="C5" s="152" t="str">
        <x:v>CNY/month</x:v>
      </x:c>
      <x:c r="D5" s="153" t="n">
        <x:v>46261</x:v>
      </x:c>
      <x:c r="E5" s="152" t="str">
        <x:v>Assumption</x:v>
      </x:c>
      <x:c r="F5" s="152" t="str">
        <x:v>https://www.alibabacloud.com/en/pricing</x:v>
      </x:c>
      <x:c r="G5" s="152" t="str">
        <x:v>Customer FinOps</x:v>
      </x:c>
      <x:c r="H5" s="152" t="str">
        <x:v>Replace with account quote/calculator export</x:v>
      </x:c>
    </x:row>
    <x:row r="6" ht="42" customHeight="1">
      <x:c r="A6" s="154" t="str">
        <x:v>RocketMQ design</x:v>
      </x:c>
      <x:c r="B6" s="154" t="str">
        <x:v>Ordered/transactional patterns</x:v>
      </x:c>
      <x:c r="C6" s="154" t="str">
        <x:v>architecture</x:v>
      </x:c>
      <x:c r="D6" s="155" t="n">
        <x:v>46261</x:v>
      </x:c>
      <x:c r="E6" s="154" t="str">
        <x:v>Official docs</x:v>
      </x:c>
      <x:c r="F6" s="154" t="str">
        <x:v>https://www.alibabacloud.com/help/en/apsaramq-for-rocketmq/</x:v>
      </x:c>
      <x:c r="G6" s="154" t="str">
        <x:v>Solution architect</x:v>
      </x:c>
      <x:c r="H6" s="154" t="str">
        <x:v>Validate edition and advanced-message TPS</x:v>
      </x:c>
    </x:row>
    <x:row r="7" ht="42" customHeight="1">
      <x:c r="A7" s="154" t="str">
        <x:v>Hologres</x:v>
      </x:c>
      <x:c r="B7" s="154" t="str">
        <x:v>Real-time serving/risk</x:v>
      </x:c>
      <x:c r="C7" s="154" t="str">
        <x:v>architecture</x:v>
      </x:c>
      <x:c r="D7" s="155" t="n">
        <x:v>46261</x:v>
      </x:c>
      <x:c r="E7" s="154" t="str">
        <x:v>Official docs</x:v>
      </x:c>
      <x:c r="F7" s="154" t="str">
        <x:v>https://www.alibabacloud.com/help/en/hologres/product-overview/what-is-hologres</x:v>
      </x:c>
      <x:c r="G7" s="154" t="str">
        <x:v>Data architect</x:v>
      </x:c>
      <x:c r="H7" s="154" t="str">
        <x:v>Not ledger authority</x:v>
      </x:c>
    </x:row>
    <x:row r="8" ht="42" customHeight="1">
      <x:c r="A8" s="154" t="str">
        <x:v>PAI-EAS</x:v>
      </x:c>
      <x:c r="B8" s="154" t="str">
        <x:v>Online inference</x:v>
      </x:c>
      <x:c r="C8" s="154" t="str">
        <x:v>architecture</x:v>
      </x:c>
      <x:c r="D8" s="155" t="n">
        <x:v>46261</x:v>
      </x:c>
      <x:c r="E8" s="154" t="str">
        <x:v>Official docs</x:v>
      </x:c>
      <x:c r="F8" s="154" t="str">
        <x:v>https://www.alibabacloud.com/help/en/pai/overview-2</x:v>
      </x:c>
      <x:c r="G8" s="154" t="str">
        <x:v>AI owner</x:v>
      </x:c>
      <x:c r="H8" s="154" t="str">
        <x:v>Benchmark actual model/cold start</x:v>
      </x:c>
    </x:row>
    <x:row r="9" ht="42" customHeight="1">
      <x:c r="A9" s="154" t="str">
        <x:v>ACK observability</x:v>
      </x:c>
      <x:c r="B9" s="154" t="str">
        <x:v>Metrics/logs/traces</x:v>
      </x:c>
      <x:c r="C9" s="154" t="str">
        <x:v>architecture</x:v>
      </x:c>
      <x:c r="D9" s="155" t="n">
        <x:v>46261</x:v>
      </x:c>
      <x:c r="E9" s="154" t="str">
        <x:v>Official docs</x:v>
      </x:c>
      <x:c r="F9" s="154" t="str">
        <x:v>https://www.alibabacloud.com/help/en/ack/ack-managed-and-ack-dedicated/user-guide/observability-best-practices</x:v>
      </x:c>
      <x:c r="G9" s="154" t="str">
        <x:v>SRE</x:v>
      </x:c>
      <x:c r="H9" s="154" t="str">
        <x:v>Cost each signal separately</x:v>
      </x:c>
    </x:row>
    <x:row r="10" ht="42" customHeight="1">
      <x:c r="A10" s="154" t="str">
        <x:v>Transaction volume</x:v>
      </x:c>
      <x:c r="B10" s="156" t="n">
        <x:v>3000000</x:v>
      </x:c>
      <x:c r="C10" s="154" t="str">
        <x:v>monthly</x:v>
      </x:c>
      <x:c r="D10" s="155" t="n">
        <x:v>46261</x:v>
      </x:c>
      <x:c r="E10" s="154" t="str">
        <x:v>Illustrative</x:v>
      </x:c>
      <x:c r="F10" s="154" t="str">
        <x:v>Customer analytics export required</x:v>
      </x:c>
      <x:c r="G10" s="154" t="str">
        <x:v>Business owner</x:v>
      </x:c>
      <x:c r="H10" s="154" t="str">
        <x:v>Replace with average/peak/burst</x:v>
      </x:c>
    </x:row>
    <x:row r="11" ht="42" customHeight="1">
      <x:c r="A11" s="154" t="str">
        <x:v>Incident impact</x:v>
      </x:c>
      <x:c r="B11" s="157" t="n">
        <x:v>1500000</x:v>
      </x:c>
      <x:c r="C11" s="154" t="str">
        <x:v>CNY/event</x:v>
      </x:c>
      <x:c r="D11" s="155" t="n">
        <x:v>46261</x:v>
      </x:c>
      <x:c r="E11" s="154" t="str">
        <x:v>Illustrative</x:v>
      </x:c>
      <x:c r="F11" s="154" t="str">
        <x:v>Customer incident/finance baseline required</x:v>
      </x:c>
      <x:c r="G11" s="154" t="str">
        <x:v>Risk + Finance</x:v>
      </x:c>
      <x:c r="H11" s="154" t="str">
        <x:v>Probability-weighted; avoid zero-incident claim</x:v>
      </x:c>
    </x:row>
    <x:row r="12" ht="42" customHeight="1">
      <x:c r="A12" s="154" t="str">
        <x:v>Labor rates</x:v>
      </x:c>
      <x:c r="B12" s="154" t="str">
        <x:v>Illustrative loaded rates</x:v>
      </x:c>
      <x:c r="C12" s="154" t="str">
        <x:v>CNY</x:v>
      </x:c>
      <x:c r="D12" s="155" t="n">
        <x:v>46261</x:v>
      </x:c>
      <x:c r="E12" s="154" t="str">
        <x:v>Illustrative</x:v>
      </x:c>
      <x:c r="F12" s="154" t="str">
        <x:v>Customer HR/Finance policy required</x:v>
      </x:c>
      <x:c r="G12" s="154" t="str">
        <x:v>Finance</x:v>
      </x:c>
      <x:c r="H12" s="154" t="str">
        <x:v>Include benefits/overhead</x:v>
      </x:c>
    </x:row>
    <x:row r="13" ht="42" customHeight="1">
      <x:c r="A13" s="154" t="str">
        <x:v>Discount rate</x:v>
      </x:c>
      <x:c r="B13" s="158" t="n">
        <x:v>0.08</x:v>
      </x:c>
      <x:c r="C13" s="154" t="str">
        <x:v>%</x:v>
      </x:c>
      <x:c r="D13" s="155" t="n">
        <x:v>46261</x:v>
      </x:c>
      <x:c r="E13" s="154" t="str">
        <x:v>Illustrative</x:v>
      </x:c>
      <x:c r="F13" s="154" t="str">
        <x:v>Customer finance policy required</x:v>
      </x:c>
      <x:c r="G13" s="154" t="str">
        <x:v>Finance</x:v>
      </x:c>
      <x:c r="H13" s="154" t="str">
        <x:v>Used in present value</x:v>
      </x:c>
    </x:row>
  </x:sheetData>
  <x:mergeCells>
    <x:mergeCell ref="A1:H1"/>
    <x:mergeCell ref="A2:H2"/>
  </x:mergeCells>
  <x:pageMargins left="0.7" right="0.7" top="0.75" bottom="0.75" header="0.3" footer="0.3"/>
</x:worksheet>
</file>